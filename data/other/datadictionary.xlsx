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guptill/Library/CloudStorage/OneDrive-Personal/Code/F1FantasyProject/data/other/"/>
    </mc:Choice>
  </mc:AlternateContent>
  <xr:revisionPtr revIDLastSave="0" documentId="13_ncr:1_{F49755B1-F624-8D45-88C9-441FE48905B3}" xr6:coauthVersionLast="47" xr6:coauthVersionMax="47" xr10:uidLastSave="{00000000-0000-0000-0000-000000000000}"/>
  <bookViews>
    <workbookView xWindow="0" yWindow="0" windowWidth="28800" windowHeight="18000" activeTab="4" xr2:uid="{45E0BE48-3267-3742-B6D8-ABB2E8AD046B}"/>
  </bookViews>
  <sheets>
    <sheet name="PostRaceEval" sheetId="4" r:id="rId1"/>
    <sheet name="modelPerformance" sheetId="3" r:id="rId2"/>
    <sheet name="Sheet2" sheetId="2" r:id="rId3"/>
    <sheet name="driverdf" sheetId="1" r:id="rId4"/>
    <sheet name="checklist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G3" i="4" l="1"/>
  <c r="H3" i="4" s="1"/>
  <c r="G7" i="4"/>
  <c r="H7" i="4" s="1"/>
  <c r="G26" i="4"/>
  <c r="H26" i="4" s="1"/>
  <c r="G4" i="4"/>
  <c r="H4" i="4" s="1"/>
  <c r="G5" i="4"/>
  <c r="H5" i="4" s="1"/>
  <c r="G10" i="4"/>
  <c r="H10" i="4" s="1"/>
  <c r="G13" i="4"/>
  <c r="H13" i="4" s="1"/>
  <c r="G27" i="4"/>
  <c r="H27" i="4" s="1"/>
  <c r="G25" i="4"/>
  <c r="H25" i="4" s="1"/>
  <c r="G34" i="4"/>
  <c r="H34" i="4" s="1"/>
  <c r="G2" i="4"/>
  <c r="G9" i="4"/>
  <c r="H9" i="4" s="1"/>
  <c r="G24" i="4"/>
  <c r="H24" i="4" s="1"/>
  <c r="G33" i="4"/>
  <c r="H33" i="4" s="1"/>
  <c r="G11" i="4"/>
  <c r="H11" i="4" s="1"/>
  <c r="G15" i="4"/>
  <c r="H15" i="4" s="1"/>
  <c r="G16" i="4"/>
  <c r="H16" i="4" s="1"/>
  <c r="G29" i="4"/>
  <c r="H29" i="4" s="1"/>
  <c r="G19" i="4"/>
  <c r="H19" i="4" s="1"/>
  <c r="G22" i="4"/>
  <c r="H22" i="4" s="1"/>
  <c r="G23" i="4"/>
  <c r="H23" i="4" s="1"/>
  <c r="G30" i="4"/>
  <c r="H30" i="4" s="1"/>
  <c r="G32" i="4"/>
  <c r="H32" i="4" s="1"/>
  <c r="G8" i="4"/>
  <c r="H8" i="4" s="1"/>
  <c r="G17" i="4"/>
  <c r="H17" i="4" s="1"/>
  <c r="G31" i="4"/>
  <c r="H31" i="4" s="1"/>
  <c r="G20" i="4"/>
  <c r="H20" i="4" s="1"/>
  <c r="G14" i="4"/>
  <c r="H14" i="4" s="1"/>
  <c r="G18" i="4"/>
  <c r="H18" i="4" s="1"/>
  <c r="G12" i="4"/>
  <c r="H12" i="4" s="1"/>
  <c r="G21" i="4"/>
  <c r="H21" i="4" s="1"/>
  <c r="G28" i="4"/>
  <c r="H28" i="4" s="1"/>
  <c r="G6" i="4"/>
  <c r="H6" i="4" s="1"/>
  <c r="K5" i="3"/>
  <c r="K6" i="3"/>
  <c r="K7" i="3"/>
  <c r="K8" i="3"/>
  <c r="K4" i="3"/>
  <c r="J4" i="3"/>
  <c r="J5" i="3"/>
  <c r="J6" i="3"/>
  <c r="J7" i="3"/>
  <c r="J8" i="3"/>
  <c r="I4" i="3"/>
  <c r="I5" i="3"/>
  <c r="I6" i="3"/>
  <c r="I7" i="3"/>
  <c r="I8" i="3"/>
  <c r="M5" i="3"/>
  <c r="M6" i="3"/>
  <c r="M7" i="3"/>
  <c r="M8" i="3"/>
  <c r="M4" i="3"/>
  <c r="L4" i="3"/>
  <c r="L5" i="3"/>
  <c r="L6" i="3"/>
  <c r="L7" i="3"/>
  <c r="L8" i="3"/>
  <c r="Q3" i="4" l="1" a="1"/>
  <c r="Q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<sst xmlns="http://schemas.openxmlformats.org/spreadsheetml/2006/main" count="393" uniqueCount="188">
  <si>
    <t>features needed</t>
  </si>
  <si>
    <t>year</t>
  </si>
  <si>
    <t>race_name</t>
  </si>
  <si>
    <t>driver</t>
  </si>
  <si>
    <t>constructor</t>
  </si>
  <si>
    <t>is_sprint_weekend</t>
  </si>
  <si>
    <t>fantasy_points</t>
  </si>
  <si>
    <t>price</t>
  </si>
  <si>
    <t>price_change_prev_race</t>
  </si>
  <si>
    <t>price_rank</t>
  </si>
  <si>
    <t>points_last_three_avg</t>
  </si>
  <si>
    <t>points_last_five_avg</t>
  </si>
  <si>
    <t>finish_pos_last_three_avg</t>
  </si>
  <si>
    <t>quali_pos_last_3_avg</t>
  </si>
  <si>
    <t>positions_gained_last_three_avg</t>
  </si>
  <si>
    <t>dnf_last_5_count</t>
  </si>
  <si>
    <t>quali_pos</t>
  </si>
  <si>
    <t>quali_delta_vs_teammate</t>
  </si>
  <si>
    <t>avg_quali_pos_season</t>
  </si>
  <si>
    <t>quali_variance</t>
  </si>
  <si>
    <t>dnf_rate_season</t>
  </si>
  <si>
    <t>dnf_last_5</t>
  </si>
  <si>
    <t>teamate_price</t>
  </si>
  <si>
    <t>teammate_points_last_3</t>
  </si>
  <si>
    <t>driver_minus_teammate_finish_avg</t>
  </si>
  <si>
    <t>driver_minus_teammate_quali_avg</t>
  </si>
  <si>
    <t>track_type</t>
  </si>
  <si>
    <t>overtake_difficulty_index</t>
  </si>
  <si>
    <t>historical_average_finish_at_track</t>
  </si>
  <si>
    <t>constructor_dnf_rate</t>
  </si>
  <si>
    <t>Retreival</t>
  </si>
  <si>
    <t>driver_points</t>
  </si>
  <si>
    <t>driver_price</t>
  </si>
  <si>
    <t>fastf1</t>
  </si>
  <si>
    <t>fastf1, or can make a ref table</t>
  </si>
  <si>
    <t>maybe fastf1</t>
  </si>
  <si>
    <t>might have to make this myself</t>
  </si>
  <si>
    <t>Complete</t>
  </si>
  <si>
    <t>Potential Issues</t>
  </si>
  <si>
    <t>None</t>
  </si>
  <si>
    <t>conversions in syntax</t>
  </si>
  <si>
    <t>prior_season_points</t>
  </si>
  <si>
    <t>last_season_finish_avg</t>
  </si>
  <si>
    <t>early_season_flag</t>
  </si>
  <si>
    <t>pre_summer_break_flag</t>
  </si>
  <si>
    <t>post_summer_break_flag</t>
  </si>
  <si>
    <t>create my own ref table</t>
  </si>
  <si>
    <t>create own logic (if within the first 4 races)</t>
  </si>
  <si>
    <t>career_avg_points_2023_and_beyond</t>
  </si>
  <si>
    <t>team_changed_flag</t>
  </si>
  <si>
    <t>teammate_delta_last_season</t>
  </si>
  <si>
    <t>race_num</t>
  </si>
  <si>
    <t>Priority</t>
  </si>
  <si>
    <t>shift</t>
  </si>
  <si>
    <t>Model</t>
  </si>
  <si>
    <t>A,B</t>
  </si>
  <si>
    <t>B</t>
  </si>
  <si>
    <t>historical_positions_gained</t>
  </si>
  <si>
    <t>rolling_avg_finish_season</t>
  </si>
  <si>
    <t>prior_finish_position</t>
  </si>
  <si>
    <t>Leak unless avg</t>
  </si>
  <si>
    <t>Models</t>
  </si>
  <si>
    <t>A</t>
  </si>
  <si>
    <t>Pre-Quali Model</t>
  </si>
  <si>
    <t>Post-Quali Model</t>
  </si>
  <si>
    <t>race_dim, driver_points</t>
  </si>
  <si>
    <t>avg_finish_delta_vs_teammate_past_5</t>
  </si>
  <si>
    <t>Yes</t>
  </si>
  <si>
    <t>manual updates that will be needed weekly</t>
  </si>
  <si>
    <t xml:space="preserve">updates to points -&gt; subsequent changes to the hist data clean notebook </t>
  </si>
  <si>
    <t xml:space="preserve">update to prices -&gt; subsequent changes to the hist data clean notebook </t>
  </si>
  <si>
    <t>One time updates that will be needed post week 1</t>
  </si>
  <si>
    <t>need to update the drivers and team const ref table</t>
  </si>
  <si>
    <t>ppm_last_3</t>
  </si>
  <si>
    <t>ppm_last_5</t>
  </si>
  <si>
    <t>driver_price, driver_points</t>
  </si>
  <si>
    <t>results_driver via fastf1</t>
  </si>
  <si>
    <t>No</t>
  </si>
  <si>
    <t>location</t>
  </si>
  <si>
    <t>OpenF1</t>
  </si>
  <si>
    <t>start_date</t>
  </si>
  <si>
    <t>country_code</t>
  </si>
  <si>
    <t>meeting_key</t>
  </si>
  <si>
    <t>month</t>
  </si>
  <si>
    <t>day_of_year</t>
  </si>
  <si>
    <t>start_epoch</t>
  </si>
  <si>
    <t>Type</t>
  </si>
  <si>
    <t>Mean Baseline</t>
  </si>
  <si>
    <t>Linear</t>
  </si>
  <si>
    <t>Ridge</t>
  </si>
  <si>
    <t>Random Forest</t>
  </si>
  <si>
    <t>driver_share_team_performance</t>
  </si>
  <si>
    <t>need to build a driver_point table that is actual points, not fantasy</t>
  </si>
  <si>
    <t>price_momentum</t>
  </si>
  <si>
    <t>ElasticNet</t>
  </si>
  <si>
    <t>Lasso</t>
  </si>
  <si>
    <t>Test MAE</t>
  </si>
  <si>
    <t>Test RMSE</t>
  </si>
  <si>
    <t>CV MAE</t>
  </si>
  <si>
    <t>Train MAE</t>
  </si>
  <si>
    <t>CV MAE STD</t>
  </si>
  <si>
    <t>Train RMSE</t>
  </si>
  <si>
    <t>MAE Model Improvement Over Baseline</t>
  </si>
  <si>
    <t>RMSE Model Improvement over Baseline</t>
  </si>
  <si>
    <t>RMSE overfit/undefit Gap</t>
  </si>
  <si>
    <t>CV MAE overfit/underfit Gap to Test MAE</t>
  </si>
  <si>
    <t>CV to Test Gap</t>
  </si>
  <si>
    <t>Best CV MAE</t>
  </si>
  <si>
    <t>Pre Hyper-Parameter Models</t>
  </si>
  <si>
    <t>Post Hyper-Parameterization Models</t>
  </si>
  <si>
    <t>Driver</t>
  </si>
  <si>
    <t xml:space="preserve">Race </t>
  </si>
  <si>
    <t>Driver/Constructor</t>
  </si>
  <si>
    <t>Predicted Points</t>
  </si>
  <si>
    <t>Actual Points</t>
  </si>
  <si>
    <t>Boost</t>
  </si>
  <si>
    <t>VER</t>
  </si>
  <si>
    <t>RUS</t>
  </si>
  <si>
    <t>NOR</t>
  </si>
  <si>
    <t>PIA</t>
  </si>
  <si>
    <t>ANT</t>
  </si>
  <si>
    <t>LEC</t>
  </si>
  <si>
    <t>HAM</t>
  </si>
  <si>
    <t>HAD</t>
  </si>
  <si>
    <t>GAS</t>
  </si>
  <si>
    <t>SAI</t>
  </si>
  <si>
    <t>ALB</t>
  </si>
  <si>
    <t>ALO</t>
  </si>
  <si>
    <t>STR</t>
  </si>
  <si>
    <t>BEA</t>
  </si>
  <si>
    <t>OCO</t>
  </si>
  <si>
    <t>HUL</t>
  </si>
  <si>
    <t>LAW</t>
  </si>
  <si>
    <t>BOR</t>
  </si>
  <si>
    <t>COL</t>
  </si>
  <si>
    <t>LIN</t>
  </si>
  <si>
    <t>PER</t>
  </si>
  <si>
    <t>BOT</t>
  </si>
  <si>
    <t>Name</t>
  </si>
  <si>
    <t>MER</t>
  </si>
  <si>
    <t>FER</t>
  </si>
  <si>
    <t>RBR</t>
  </si>
  <si>
    <t>MCL</t>
  </si>
  <si>
    <t>RB</t>
  </si>
  <si>
    <t>HAS</t>
  </si>
  <si>
    <t>ALP</t>
  </si>
  <si>
    <t>WIL</t>
  </si>
  <si>
    <t>CAD</t>
  </si>
  <si>
    <t>AUD</t>
  </si>
  <si>
    <t>Constructor</t>
  </si>
  <si>
    <t>Team</t>
  </si>
  <si>
    <t>1,2</t>
  </si>
  <si>
    <t>1</t>
  </si>
  <si>
    <t>2</t>
  </si>
  <si>
    <t>AMR</t>
  </si>
  <si>
    <t>Race1 Notes</t>
  </si>
  <si>
    <t>Underpredicting top end constructors and drivers</t>
  </si>
  <si>
    <t>Mid field drivers I am doing well on</t>
  </si>
  <si>
    <t>Mean Absolute Error</t>
  </si>
  <si>
    <t>In general I am underpredicting for Constructors by a lot, need to re-evaluate modeling. Cosider just getting the predicted points of both drivers and a bonus model</t>
  </si>
  <si>
    <t>Need to do a better job of including features to predict crashes, as well as overtakes</t>
  </si>
  <si>
    <t>Absolute Error</t>
  </si>
  <si>
    <t>Action</t>
  </si>
  <si>
    <t>Post Race</t>
  </si>
  <si>
    <t>Update Driver Points for past race</t>
  </si>
  <si>
    <t>Update Constructor Points for past race</t>
  </si>
  <si>
    <t>Update Current Week Driver Prices</t>
  </si>
  <si>
    <t>Update Current Week Constructor Prices</t>
  </si>
  <si>
    <t>Monday</t>
  </si>
  <si>
    <t>verify current week lineup for the race</t>
  </si>
  <si>
    <t>update Current Week Driver Roster</t>
  </si>
  <si>
    <t>Run histDataClean</t>
  </si>
  <si>
    <t>Verify current week within each of the core tables</t>
  </si>
  <si>
    <t>Run driverLevelDataClean.ipynb</t>
  </si>
  <si>
    <t>Verify hist_driver_points_df_v1.csv</t>
  </si>
  <si>
    <t>Verify current_week_driver_points_df_v1.csv</t>
  </si>
  <si>
    <t>Run driver Model</t>
  </si>
  <si>
    <t>Verify driver_predictions_2026.csv</t>
  </si>
  <si>
    <t>Change constructor model settings</t>
  </si>
  <si>
    <t>run constructor model</t>
  </si>
  <si>
    <t>run in week team optimizer</t>
  </si>
  <si>
    <t>Watch Race</t>
  </si>
  <si>
    <t>Run post race anaysis</t>
  </si>
  <si>
    <t>Sunday</t>
  </si>
  <si>
    <t>Set 2026TeamConfig for week</t>
  </si>
  <si>
    <t>Deadline</t>
  </si>
  <si>
    <t>Do prior week notes</t>
  </si>
  <si>
    <t>Figure out priorities for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</si>
</sst>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3" borderId="1" xfId="0" applyFont="1" applyFill="1" applyBorder="1"/>
    <xf numFmtId="0" fontId="4" fillId="0" borderId="0" xfId="0" applyFont="1"/>
    <xf numFmtId="9" fontId="0" fillId="0" borderId="0" xfId="1" applyFont="1"/>
    <xf numFmtId="0" fontId="0" fillId="4" borderId="0" xfId="0" applyFill="1"/>
    <xf numFmtId="16" fontId="0" fillId="0" borderId="0" xfId="0" quotePrefix="1" applyNumberFormat="1"/>
    <xf numFmtId="16" fontId="2" fillId="0" borderId="0" xfId="0" applyNumberFormat="1" applyFont="1"/>
    <xf numFmtId="0" fontId="0" fillId="0" borderId="0" xfId="0" quotePrefix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28</xdr:row>
      <xdr:rowOff>25400</xdr:rowOff>
    </xdr:from>
    <xdr:to>
      <xdr:col>11</xdr:col>
      <xdr:colOff>2624120</xdr:colOff>
      <xdr:row>38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3C0A42-17AF-3972-9A28-53C7C0681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999" y="5715000"/>
          <a:ext cx="16670321" cy="2159000"/>
        </a:xfrm>
        <a:prstGeom prst="rect">
          <a:avLst/>
        </a:prstGeom>
      </xdr:spPr>
    </xdr:pic>
    <xdr:clientData/>
  </xdr:twoCellAnchor>
  <xdr:twoCellAnchor editAs="oneCell">
    <xdr:from>
      <xdr:col>0</xdr:col>
      <xdr:colOff>584199</xdr:colOff>
      <xdr:row>19</xdr:row>
      <xdr:rowOff>50800</xdr:rowOff>
    </xdr:from>
    <xdr:to>
      <xdr:col>12</xdr:col>
      <xdr:colOff>1240090</xdr:colOff>
      <xdr:row>27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626F19-E65D-1B2F-8964-152510219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199" y="3911600"/>
          <a:ext cx="17851691" cy="1727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ckguptill/Library/CloudStorage/OneDrive-Personal/Code/F1Fantasy/data/raw/rawHistPointAndPrice.xlsx" TargetMode="External"/><Relationship Id="rId1" Type="http://schemas.openxmlformats.org/officeDocument/2006/relationships/externalLinkPath" Target="/Users/jackguptill/Library/CloudStorage/OneDrive-Personal/Code/F1Fantasy/data/raw/rawHistPointAnd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Price"/>
      <sheetName val="2023Points"/>
      <sheetName val="2023DriverPrice"/>
      <sheetName val="2023ConstructorPrice"/>
      <sheetName val="2023DriverPoints"/>
      <sheetName val="2023ConstructorPoints"/>
      <sheetName val="2023DriverRoster"/>
      <sheetName val="2024Price"/>
      <sheetName val="2024Points"/>
      <sheetName val="2024DriverRoster"/>
      <sheetName val="2024DriverPrice"/>
      <sheetName val="2024ConstructorPrice"/>
      <sheetName val="2024DriverPoints"/>
      <sheetName val="2024ConstructorPoints"/>
      <sheetName val="2025DriverRoster"/>
      <sheetName val="2025Price"/>
      <sheetName val="2025Points"/>
      <sheetName val="2025DriverPrice"/>
      <sheetName val="2025ConstructorPrice"/>
      <sheetName val="2025DriverPoints"/>
      <sheetName val="2025ConstructorPoints"/>
      <sheetName val="2025DriverStandings"/>
      <sheetName val="2025ConstructorStandings"/>
      <sheetName val="2025EOSResults"/>
      <sheetName val="2026DriverRoster"/>
      <sheetName val="2026DriverPrice"/>
      <sheetName val="2026DriverPoints"/>
      <sheetName val="2026ConstructorPrice"/>
      <sheetName val="2026ConstructorPoints"/>
      <sheetName val="2026ConstructorStandings"/>
      <sheetName val="2026DriverStand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B1">
            <v>1</v>
          </cell>
        </row>
        <row r="2">
          <cell r="A2" t="str">
            <v>VER</v>
          </cell>
          <cell r="B2">
            <v>50</v>
          </cell>
        </row>
        <row r="3">
          <cell r="A3" t="str">
            <v>RUS</v>
          </cell>
          <cell r="B3">
            <v>39</v>
          </cell>
        </row>
        <row r="4">
          <cell r="A4" t="str">
            <v>NOR</v>
          </cell>
          <cell r="B4">
            <v>21</v>
          </cell>
        </row>
        <row r="5">
          <cell r="A5" t="str">
            <v>PIA</v>
          </cell>
          <cell r="B5">
            <v>-14</v>
          </cell>
        </row>
        <row r="6">
          <cell r="A6" t="str">
            <v>ANT</v>
          </cell>
          <cell r="B6">
            <v>32</v>
          </cell>
        </row>
        <row r="7">
          <cell r="A7" t="str">
            <v>LEC</v>
          </cell>
          <cell r="B7">
            <v>29</v>
          </cell>
        </row>
        <row r="8">
          <cell r="A8" t="str">
            <v>HAM</v>
          </cell>
          <cell r="B8">
            <v>25</v>
          </cell>
        </row>
        <row r="9">
          <cell r="A9" t="str">
            <v>HAD</v>
          </cell>
          <cell r="B9">
            <v>-8</v>
          </cell>
        </row>
        <row r="10">
          <cell r="A10" t="str">
            <v>GAS</v>
          </cell>
          <cell r="B10">
            <v>11</v>
          </cell>
        </row>
        <row r="11">
          <cell r="A11" t="str">
            <v>SAI</v>
          </cell>
          <cell r="B11">
            <v>9</v>
          </cell>
        </row>
        <row r="12">
          <cell r="A12" t="str">
            <v>ALB</v>
          </cell>
          <cell r="B12">
            <v>8</v>
          </cell>
        </row>
        <row r="13">
          <cell r="A13" t="str">
            <v>ALO</v>
          </cell>
          <cell r="B13">
            <v>-14</v>
          </cell>
        </row>
        <row r="14">
          <cell r="A14" t="str">
            <v>STR</v>
          </cell>
          <cell r="B14">
            <v>-23</v>
          </cell>
        </row>
        <row r="15">
          <cell r="A15" t="str">
            <v>BEA</v>
          </cell>
          <cell r="B15">
            <v>20</v>
          </cell>
        </row>
        <row r="16">
          <cell r="A16" t="str">
            <v>OCO</v>
          </cell>
          <cell r="B16">
            <v>9</v>
          </cell>
        </row>
        <row r="17">
          <cell r="A17" t="str">
            <v>HUL</v>
          </cell>
          <cell r="B17">
            <v>-20</v>
          </cell>
        </row>
        <row r="18">
          <cell r="A18" t="str">
            <v>LAW</v>
          </cell>
          <cell r="B18">
            <v>5</v>
          </cell>
        </row>
        <row r="19">
          <cell r="A19" t="str">
            <v>BOR</v>
          </cell>
          <cell r="B19">
            <v>13</v>
          </cell>
        </row>
        <row r="20">
          <cell r="A20" t="str">
            <v>LIN</v>
          </cell>
          <cell r="B20">
            <v>15</v>
          </cell>
        </row>
        <row r="21">
          <cell r="A21" t="str">
            <v>COL</v>
          </cell>
          <cell r="B21">
            <v>6</v>
          </cell>
        </row>
        <row r="22">
          <cell r="A22" t="str">
            <v>PER</v>
          </cell>
          <cell r="B22">
            <v>4</v>
          </cell>
        </row>
        <row r="23">
          <cell r="A23" t="str">
            <v>BOT</v>
          </cell>
          <cell r="B23">
            <v>-16</v>
          </cell>
        </row>
      </sheetData>
      <sheetData sheetId="27"/>
      <sheetData sheetId="28">
        <row r="1">
          <cell r="B1">
            <v>1</v>
          </cell>
        </row>
        <row r="2">
          <cell r="A2" t="str">
            <v>MER</v>
          </cell>
          <cell r="B2">
            <v>96</v>
          </cell>
        </row>
        <row r="3">
          <cell r="A3" t="str">
            <v>MCL</v>
          </cell>
          <cell r="B3">
            <v>19</v>
          </cell>
        </row>
        <row r="4">
          <cell r="A4" t="str">
            <v>RBR</v>
          </cell>
          <cell r="B4">
            <v>42</v>
          </cell>
        </row>
        <row r="5">
          <cell r="A5" t="str">
            <v>FER</v>
          </cell>
          <cell r="B5">
            <v>69</v>
          </cell>
        </row>
        <row r="6">
          <cell r="A6" t="str">
            <v>ALP</v>
          </cell>
          <cell r="B6">
            <v>22</v>
          </cell>
        </row>
        <row r="7">
          <cell r="A7" t="str">
            <v>WIL</v>
          </cell>
          <cell r="B7">
            <v>20</v>
          </cell>
        </row>
        <row r="8">
          <cell r="A8" t="str">
            <v>AMR</v>
          </cell>
          <cell r="B8">
            <v>-38</v>
          </cell>
        </row>
        <row r="9">
          <cell r="A9" t="str">
            <v>HAS</v>
          </cell>
          <cell r="B9">
            <v>34</v>
          </cell>
        </row>
        <row r="10">
          <cell r="A10" t="str">
            <v>AUD</v>
          </cell>
          <cell r="B10">
            <v>0</v>
          </cell>
        </row>
        <row r="11">
          <cell r="A11" t="str">
            <v>RB</v>
          </cell>
          <cell r="B11">
            <v>35</v>
          </cell>
        </row>
        <row r="12">
          <cell r="A12" t="str">
            <v>CAD</v>
          </cell>
          <cell r="B12">
            <v>-13</v>
          </cell>
        </row>
      </sheetData>
      <sheetData sheetId="29"/>
      <sheetData sheetId="3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45C03-5486-224B-A7EA-DB3F451B7616}" name="Table2" displayName="Table2" ref="A1:H34" totalsRowShown="0">
  <autoFilter ref="A1:H34" xr:uid="{29F45C03-5486-224B-A7EA-DB3F451B7616}"/>
  <sortState xmlns:xlrd2="http://schemas.microsoft.com/office/spreadsheetml/2017/richdata2" ref="A2:H34">
    <sortCondition descending="1" ref="H1:H34"/>
  </sortState>
  <tableColumns count="8">
    <tableColumn id="1" xr3:uid="{8B761CBD-5EBC-514F-9208-117D1F12A711}" name="Race "/>
    <tableColumn id="2" xr3:uid="{782BB6FD-1979-3D48-9136-72F304740503}" name="Name"/>
    <tableColumn id="3" xr3:uid="{FA2A9BB7-5C67-AF44-8D3F-3E12A9D6591C}" name="Driver/Constructor"/>
    <tableColumn id="4" xr3:uid="{B0724143-81AA-AC4D-9768-90650C47C128}" name="Team"/>
    <tableColumn id="5" xr3:uid="{C11D85B6-BDD0-084E-9905-086455DB050D}" name="Boost"/>
    <tableColumn id="6" xr3:uid="{5469B745-AFB6-824E-ABA9-4DCDF774A3A9}" name="Predicted Points"/>
    <tableColumn id="7" xr3:uid="{B81D57D5-C250-494E-A858-448A55C0DCC8}" name="Actual Points">
      <calculatedColumnFormula>VLOOKUP($B2,'[1]2026ConstructorPoints'!$A$1:$B$12,2,FALSE )</calculatedColumnFormula>
    </tableColumn>
    <tableColumn id="8" xr3:uid="{94711991-D65F-9A4B-9151-CFBB0B5468DC}" name="Absolute Error" dataDxfId="0">
      <calculatedColumnFormula>G2-Table2[[#This Row],[Predicted Points]]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33587-BC6B-E54D-A700-556FFE11C3F8}" name="Table1" displayName="Table1" ref="A1:G55" totalsRowShown="0">
  <autoFilter ref="A1:G55" xr:uid="{34633587-BC6B-E54D-A700-556FFE11C3F8}">
    <filterColumn colId="1">
      <filters>
        <filter val="A,B"/>
      </filters>
    </filterColumn>
  </autoFilter>
  <sortState xmlns:xlrd2="http://schemas.microsoft.com/office/spreadsheetml/2017/richdata2" ref="A2:G55">
    <sortCondition ref="A1:A55"/>
  </sortState>
  <tableColumns count="7">
    <tableColumn id="1" xr3:uid="{C13AFD3F-E9C5-5C4B-A50F-220F41424260}" name="Priority"/>
    <tableColumn id="6" xr3:uid="{6DE16D23-8954-DD4C-A3A3-B6D54206670D}" name="Model"/>
    <tableColumn id="2" xr3:uid="{205AE05A-D9A1-D845-9153-C568B9D81BA0}" name="features needed"/>
    <tableColumn id="7" xr3:uid="{8C1E81E6-ADDC-5C4B-8200-FC2057B07467}" name="Type"/>
    <tableColumn id="3" xr3:uid="{8DF6347B-0608-324D-B9C9-C7942A235870}" name="Retreival"/>
    <tableColumn id="4" xr3:uid="{788308F8-D89A-C24B-B6DB-180D5B96C387}" name="Potential Issues"/>
    <tableColumn id="5" xr3:uid="{9C466A2A-521D-8F41-BA36-0AC934CADC8C}" name="Comple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BE51-7308-274F-9550-5DCE05460E3D}">
  <dimension ref="A1:Q34"/>
  <sheetViews>
    <sheetView workbookViewId="0">
      <selection activeCell="M22" sqref="M22"/>
    </sheetView>
  </sheetViews>
  <sheetFormatPr baseColWidth="10" defaultRowHeight="16" x14ac:dyDescent="0.2"/>
  <cols>
    <col min="2" max="2" width="16.33203125" bestFit="1" customWidth="1"/>
    <col min="3" max="3" width="18.83203125" customWidth="1"/>
    <col min="4" max="4" width="16.33203125" customWidth="1"/>
    <col min="5" max="5" width="16.33203125" bestFit="1" customWidth="1"/>
    <col min="6" max="6" width="16.6640625" customWidth="1"/>
    <col min="7" max="7" width="14.1640625" customWidth="1"/>
    <col min="8" max="8" width="8.6640625" customWidth="1"/>
    <col min="10" max="10" width="15.83203125" customWidth="1"/>
  </cols>
  <sheetData>
    <row r="1" spans="1:17" x14ac:dyDescent="0.2">
      <c r="A1" t="s">
        <v>111</v>
      </c>
      <c r="B1" t="s">
        <v>138</v>
      </c>
      <c r="C1" t="s">
        <v>112</v>
      </c>
      <c r="D1" t="s">
        <v>150</v>
      </c>
      <c r="E1" t="s">
        <v>115</v>
      </c>
      <c r="F1" t="s">
        <v>113</v>
      </c>
      <c r="G1" t="s">
        <v>114</v>
      </c>
      <c r="H1" t="s">
        <v>161</v>
      </c>
    </row>
    <row r="2" spans="1:17" x14ac:dyDescent="0.2">
      <c r="A2">
        <v>1</v>
      </c>
      <c r="B2" t="s">
        <v>139</v>
      </c>
      <c r="C2" t="s">
        <v>149</v>
      </c>
      <c r="G2">
        <f>VLOOKUP($B2,'[1]2026ConstructorPoints'!$A$1:$B$12,2,FALSE )</f>
        <v>96</v>
      </c>
      <c r="H2">
        <f>G2-Table2[[#This Row],[Predicted Points]]</f>
        <v>96</v>
      </c>
      <c r="J2" t="s">
        <v>155</v>
      </c>
      <c r="Q2" t="s">
        <v>158</v>
      </c>
    </row>
    <row r="3" spans="1:17" x14ac:dyDescent="0.2">
      <c r="A3">
        <v>1</v>
      </c>
      <c r="B3" t="s">
        <v>140</v>
      </c>
      <c r="C3" t="s">
        <v>149</v>
      </c>
      <c r="G3">
        <f>VLOOKUP($B3,'[1]2026ConstructorPoints'!$A$1:$B$12,2,FALSE )</f>
        <v>69</v>
      </c>
      <c r="H3">
        <f>G3-Table2[[#This Row],[Predicted Points]]</f>
        <v>69</v>
      </c>
      <c r="J3" t="s">
        <v>156</v>
      </c>
      <c r="Q3" cm="1">
        <f t="array" ref="Q3">AVERAGE(ABS(Table2[Absolute Error]))</f>
        <v>23.606060606060606</v>
      </c>
    </row>
    <row r="4" spans="1:17" x14ac:dyDescent="0.2">
      <c r="A4">
        <v>1</v>
      </c>
      <c r="B4" t="s">
        <v>143</v>
      </c>
      <c r="C4" t="s">
        <v>149</v>
      </c>
      <c r="G4">
        <f>VLOOKUP($B4,'[1]2026ConstructorPoints'!$A$1:$B$12,2,FALSE )</f>
        <v>35</v>
      </c>
      <c r="H4">
        <f>G4-Table2[[#This Row],[Predicted Points]]</f>
        <v>35</v>
      </c>
      <c r="J4" t="s">
        <v>159</v>
      </c>
    </row>
    <row r="5" spans="1:17" x14ac:dyDescent="0.2">
      <c r="A5">
        <v>1</v>
      </c>
      <c r="B5" t="s">
        <v>144</v>
      </c>
      <c r="C5" t="s">
        <v>149</v>
      </c>
      <c r="G5">
        <f>VLOOKUP($B5,'[1]2026ConstructorPoints'!$A$1:$B$12,2,FALSE )</f>
        <v>34</v>
      </c>
      <c r="H5">
        <f>G5-Table2[[#This Row],[Predicted Points]]</f>
        <v>34</v>
      </c>
      <c r="J5" t="s">
        <v>157</v>
      </c>
    </row>
    <row r="6" spans="1:17" x14ac:dyDescent="0.2">
      <c r="A6">
        <v>1</v>
      </c>
      <c r="B6" t="s">
        <v>116</v>
      </c>
      <c r="C6" t="s">
        <v>110</v>
      </c>
      <c r="D6" s="8" t="s">
        <v>151</v>
      </c>
      <c r="E6" t="s">
        <v>67</v>
      </c>
      <c r="G6">
        <f>VLOOKUP($B6,'[1]2026DriverPoints'!$A$1:$B$23,2,FALSE )</f>
        <v>50</v>
      </c>
      <c r="H6">
        <f>G6-Table2[[#This Row],[Predicted Points]]</f>
        <v>50</v>
      </c>
      <c r="J6" t="s">
        <v>160</v>
      </c>
    </row>
    <row r="7" spans="1:17" x14ac:dyDescent="0.2">
      <c r="A7">
        <v>1</v>
      </c>
      <c r="B7" t="s">
        <v>141</v>
      </c>
      <c r="C7" t="s">
        <v>149</v>
      </c>
      <c r="G7">
        <f>VLOOKUP($B7,'[1]2026ConstructorPoints'!$A$1:$B$12,2,FALSE )</f>
        <v>42</v>
      </c>
      <c r="H7">
        <f>G7-Table2[[#This Row],[Predicted Points]]</f>
        <v>42</v>
      </c>
    </row>
    <row r="8" spans="1:17" x14ac:dyDescent="0.2">
      <c r="A8">
        <v>1</v>
      </c>
      <c r="B8" t="s">
        <v>129</v>
      </c>
      <c r="C8" t="s">
        <v>110</v>
      </c>
      <c r="G8">
        <f>VLOOKUP($B8,'[1]2026DriverPoints'!$A$1:$B$23,2,FALSE )</f>
        <v>20</v>
      </c>
      <c r="H8">
        <f>G8-Table2[[#This Row],[Predicted Points]]</f>
        <v>20</v>
      </c>
    </row>
    <row r="9" spans="1:17" x14ac:dyDescent="0.2">
      <c r="A9">
        <v>1</v>
      </c>
      <c r="B9" t="s">
        <v>117</v>
      </c>
      <c r="C9" t="s">
        <v>110</v>
      </c>
      <c r="G9">
        <f>VLOOKUP($B9,'[1]2026DriverPoints'!$A$1:$B$23,2,FALSE )</f>
        <v>39</v>
      </c>
      <c r="H9">
        <f>G9-Table2[[#This Row],[Predicted Points]]</f>
        <v>39</v>
      </c>
    </row>
    <row r="10" spans="1:17" x14ac:dyDescent="0.2">
      <c r="A10">
        <v>1</v>
      </c>
      <c r="B10" t="s">
        <v>145</v>
      </c>
      <c r="C10" t="s">
        <v>149</v>
      </c>
      <c r="G10">
        <f>VLOOKUP($B10,'[1]2026ConstructorPoints'!$A$1:$B$12,2,FALSE )</f>
        <v>22</v>
      </c>
      <c r="H10">
        <f>G10-Table2[[#This Row],[Predicted Points]]</f>
        <v>22</v>
      </c>
    </row>
    <row r="11" spans="1:17" x14ac:dyDescent="0.2">
      <c r="A11">
        <v>1</v>
      </c>
      <c r="B11" t="s">
        <v>120</v>
      </c>
      <c r="C11" t="s">
        <v>110</v>
      </c>
      <c r="G11">
        <f>VLOOKUP($B11,'[1]2026DriverPoints'!$A$1:$B$23,2,FALSE )</f>
        <v>32</v>
      </c>
      <c r="H11">
        <f>G11-Table2[[#This Row],[Predicted Points]]</f>
        <v>32</v>
      </c>
    </row>
    <row r="12" spans="1:17" x14ac:dyDescent="0.2">
      <c r="A12">
        <v>1</v>
      </c>
      <c r="B12" t="s">
        <v>135</v>
      </c>
      <c r="C12" t="s">
        <v>110</v>
      </c>
      <c r="G12">
        <f>VLOOKUP($B12,'[1]2026DriverPoints'!$A$1:$B$23,2,FALSE )</f>
        <v>15</v>
      </c>
      <c r="H12">
        <f>G12-Table2[[#This Row],[Predicted Points]]</f>
        <v>15</v>
      </c>
    </row>
    <row r="13" spans="1:17" x14ac:dyDescent="0.2">
      <c r="A13">
        <v>1</v>
      </c>
      <c r="B13" t="s">
        <v>146</v>
      </c>
      <c r="C13" t="s">
        <v>149</v>
      </c>
      <c r="G13">
        <f>VLOOKUP($B13,'[1]2026ConstructorPoints'!$A$1:$B$12,2,FALSE )</f>
        <v>20</v>
      </c>
      <c r="H13">
        <f>G13-Table2[[#This Row],[Predicted Points]]</f>
        <v>20</v>
      </c>
    </row>
    <row r="14" spans="1:17" x14ac:dyDescent="0.2">
      <c r="A14">
        <v>1</v>
      </c>
      <c r="B14" t="s">
        <v>133</v>
      </c>
      <c r="C14" t="s">
        <v>110</v>
      </c>
      <c r="G14">
        <f>VLOOKUP($B14,'[1]2026DriverPoints'!$A$1:$B$23,2,FALSE )</f>
        <v>13</v>
      </c>
      <c r="H14">
        <f>G14-Table2[[#This Row],[Predicted Points]]</f>
        <v>13</v>
      </c>
    </row>
    <row r="15" spans="1:17" x14ac:dyDescent="0.2">
      <c r="A15">
        <v>1</v>
      </c>
      <c r="B15" t="s">
        <v>121</v>
      </c>
      <c r="C15" t="s">
        <v>110</v>
      </c>
      <c r="D15" s="10" t="s">
        <v>152</v>
      </c>
      <c r="E15" t="s">
        <v>77</v>
      </c>
      <c r="G15">
        <f>VLOOKUP($B15,'[1]2026DriverPoints'!$A$1:$B$23,2,FALSE )</f>
        <v>29</v>
      </c>
      <c r="H15">
        <f>G15-Table2[[#This Row],[Predicted Points]]</f>
        <v>29</v>
      </c>
    </row>
    <row r="16" spans="1:17" x14ac:dyDescent="0.2">
      <c r="A16">
        <v>1</v>
      </c>
      <c r="B16" t="s">
        <v>122</v>
      </c>
      <c r="C16" t="s">
        <v>110</v>
      </c>
      <c r="G16">
        <f>VLOOKUP($B16,'[1]2026DriverPoints'!$A$1:$B$23,2,FALSE )</f>
        <v>25</v>
      </c>
      <c r="H16">
        <f>G16-Table2[[#This Row],[Predicted Points]]</f>
        <v>25</v>
      </c>
    </row>
    <row r="17" spans="1:8" x14ac:dyDescent="0.2">
      <c r="A17">
        <v>1</v>
      </c>
      <c r="B17" t="s">
        <v>130</v>
      </c>
      <c r="C17" t="s">
        <v>110</v>
      </c>
      <c r="G17">
        <f>VLOOKUP($B17,'[1]2026DriverPoints'!$A$1:$B$23,2,FALSE )</f>
        <v>9</v>
      </c>
      <c r="H17">
        <f>G17-Table2[[#This Row],[Predicted Points]]</f>
        <v>9</v>
      </c>
    </row>
    <row r="18" spans="1:8" x14ac:dyDescent="0.2">
      <c r="A18">
        <v>1</v>
      </c>
      <c r="B18" t="s">
        <v>134</v>
      </c>
      <c r="C18" t="s">
        <v>110</v>
      </c>
      <c r="D18" s="9" t="s">
        <v>151</v>
      </c>
      <c r="E18" t="s">
        <v>77</v>
      </c>
      <c r="G18">
        <f>VLOOKUP($B18,'[1]2026DriverPoints'!$A$1:$B$23,2,FALSE )</f>
        <v>6</v>
      </c>
      <c r="H18">
        <f>G18-Table2[[#This Row],[Predicted Points]]</f>
        <v>6</v>
      </c>
    </row>
    <row r="19" spans="1:8" x14ac:dyDescent="0.2">
      <c r="A19">
        <v>1</v>
      </c>
      <c r="B19" t="s">
        <v>124</v>
      </c>
      <c r="C19" t="s">
        <v>110</v>
      </c>
      <c r="G19">
        <f>VLOOKUP($B19,'[1]2026DriverPoints'!$A$1:$B$23,2,FALSE )</f>
        <v>11</v>
      </c>
      <c r="H19">
        <f>G19-Table2[[#This Row],[Predicted Points]]</f>
        <v>11</v>
      </c>
    </row>
    <row r="20" spans="1:8" x14ac:dyDescent="0.2">
      <c r="A20">
        <v>1</v>
      </c>
      <c r="B20" t="s">
        <v>132</v>
      </c>
      <c r="C20" t="s">
        <v>110</v>
      </c>
      <c r="D20" s="9" t="s">
        <v>151</v>
      </c>
      <c r="E20" t="s">
        <v>77</v>
      </c>
      <c r="G20">
        <f>VLOOKUP($B20,'[1]2026DriverPoints'!$A$1:$B$23,2,FALSE )</f>
        <v>5</v>
      </c>
      <c r="H20">
        <f>G20-Table2[[#This Row],[Predicted Points]]</f>
        <v>5</v>
      </c>
    </row>
    <row r="21" spans="1:8" x14ac:dyDescent="0.2">
      <c r="A21">
        <v>1</v>
      </c>
      <c r="B21" t="s">
        <v>136</v>
      </c>
      <c r="C21" t="s">
        <v>110</v>
      </c>
      <c r="G21">
        <f>VLOOKUP($B21,'[1]2026DriverPoints'!$A$1:$B$23,2,FALSE )</f>
        <v>4</v>
      </c>
      <c r="H21">
        <f>G21-Table2[[#This Row],[Predicted Points]]</f>
        <v>4</v>
      </c>
    </row>
    <row r="22" spans="1:8" x14ac:dyDescent="0.2">
      <c r="A22">
        <v>1</v>
      </c>
      <c r="B22" t="s">
        <v>125</v>
      </c>
      <c r="C22" t="s">
        <v>110</v>
      </c>
      <c r="G22">
        <f>VLOOKUP($B22,'[1]2026DriverPoints'!$A$1:$B$23,2,FALSE )</f>
        <v>9</v>
      </c>
      <c r="H22">
        <f>G22-Table2[[#This Row],[Predicted Points]]</f>
        <v>9</v>
      </c>
    </row>
    <row r="23" spans="1:8" x14ac:dyDescent="0.2">
      <c r="A23">
        <v>1</v>
      </c>
      <c r="B23" t="s">
        <v>126</v>
      </c>
      <c r="C23" t="s">
        <v>110</v>
      </c>
      <c r="G23">
        <f>VLOOKUP($B23,'[1]2026DriverPoints'!$A$1:$B$23,2,FALSE )</f>
        <v>8</v>
      </c>
      <c r="H23">
        <f>G23-Table2[[#This Row],[Predicted Points]]</f>
        <v>8</v>
      </c>
    </row>
    <row r="24" spans="1:8" x14ac:dyDescent="0.2">
      <c r="A24">
        <v>1</v>
      </c>
      <c r="B24" t="s">
        <v>118</v>
      </c>
      <c r="C24" t="s">
        <v>110</v>
      </c>
      <c r="G24">
        <f>VLOOKUP($B24,'[1]2026DriverPoints'!$A$1:$B$23,2,FALSE )</f>
        <v>21</v>
      </c>
      <c r="H24">
        <f>G24-Table2[[#This Row],[Predicted Points]]</f>
        <v>21</v>
      </c>
    </row>
    <row r="25" spans="1:8" x14ac:dyDescent="0.2">
      <c r="A25">
        <v>1</v>
      </c>
      <c r="B25" t="s">
        <v>148</v>
      </c>
      <c r="C25" t="s">
        <v>149</v>
      </c>
      <c r="G25">
        <f>VLOOKUP($B25,'[1]2026ConstructorPoints'!$A$1:$B$12,2,FALSE )</f>
        <v>0</v>
      </c>
      <c r="H25">
        <f>G25-Table2[[#This Row],[Predicted Points]]</f>
        <v>0</v>
      </c>
    </row>
    <row r="26" spans="1:8" x14ac:dyDescent="0.2">
      <c r="A26">
        <v>1</v>
      </c>
      <c r="B26" t="s">
        <v>142</v>
      </c>
      <c r="C26" t="s">
        <v>149</v>
      </c>
      <c r="G26">
        <f>VLOOKUP($B26,'[1]2026ConstructorPoints'!$A$1:$B$12,2,FALSE )</f>
        <v>19</v>
      </c>
      <c r="H26">
        <f>G26-Table2[[#This Row],[Predicted Points]]</f>
        <v>19</v>
      </c>
    </row>
    <row r="27" spans="1:8" x14ac:dyDescent="0.2">
      <c r="A27">
        <v>1</v>
      </c>
      <c r="B27" t="s">
        <v>147</v>
      </c>
      <c r="C27" t="s">
        <v>149</v>
      </c>
      <c r="G27">
        <f>VLOOKUP($B27,'[1]2026ConstructorPoints'!$A$1:$B$12,2,FALSE )</f>
        <v>-13</v>
      </c>
      <c r="H27">
        <f>G27-Table2[[#This Row],[Predicted Points]]</f>
        <v>-13</v>
      </c>
    </row>
    <row r="28" spans="1:8" x14ac:dyDescent="0.2">
      <c r="A28">
        <v>1</v>
      </c>
      <c r="B28" t="s">
        <v>137</v>
      </c>
      <c r="C28" t="s">
        <v>110</v>
      </c>
      <c r="G28">
        <f>VLOOKUP($B28,'[1]2026DriverPoints'!$A$1:$B$23,2,FALSE )</f>
        <v>-16</v>
      </c>
      <c r="H28">
        <f>G28-Table2[[#This Row],[Predicted Points]]</f>
        <v>-16</v>
      </c>
    </row>
    <row r="29" spans="1:8" x14ac:dyDescent="0.2">
      <c r="A29">
        <v>1</v>
      </c>
      <c r="B29" t="s">
        <v>123</v>
      </c>
      <c r="C29" t="s">
        <v>110</v>
      </c>
      <c r="D29" s="10" t="s">
        <v>153</v>
      </c>
      <c r="E29" t="s">
        <v>77</v>
      </c>
      <c r="G29">
        <f>VLOOKUP($B29,'[1]2026DriverPoints'!$A$1:$B$23,2,FALSE )</f>
        <v>-8</v>
      </c>
      <c r="H29">
        <f>G29-Table2[[#This Row],[Predicted Points]]</f>
        <v>-8</v>
      </c>
    </row>
    <row r="30" spans="1:8" x14ac:dyDescent="0.2">
      <c r="A30">
        <v>1</v>
      </c>
      <c r="B30" t="s">
        <v>127</v>
      </c>
      <c r="C30" t="s">
        <v>110</v>
      </c>
      <c r="G30">
        <f>VLOOKUP($B30,'[1]2026DriverPoints'!$A$1:$B$23,2,FALSE )</f>
        <v>-14</v>
      </c>
      <c r="H30">
        <f>G30-Table2[[#This Row],[Predicted Points]]</f>
        <v>-14</v>
      </c>
    </row>
    <row r="31" spans="1:8" x14ac:dyDescent="0.2">
      <c r="A31">
        <v>1</v>
      </c>
      <c r="B31" t="s">
        <v>131</v>
      </c>
      <c r="C31" t="s">
        <v>110</v>
      </c>
      <c r="D31" s="9" t="s">
        <v>151</v>
      </c>
      <c r="E31" t="s">
        <v>77</v>
      </c>
      <c r="G31">
        <f>VLOOKUP($B31,'[1]2026DriverPoints'!$A$1:$B$23,2,FALSE )</f>
        <v>-20</v>
      </c>
      <c r="H31">
        <f>G31-Table2[[#This Row],[Predicted Points]]</f>
        <v>-20</v>
      </c>
    </row>
    <row r="32" spans="1:8" x14ac:dyDescent="0.2">
      <c r="A32">
        <v>1</v>
      </c>
      <c r="B32" t="s">
        <v>128</v>
      </c>
      <c r="C32" t="s">
        <v>110</v>
      </c>
      <c r="G32">
        <f>VLOOKUP($B32,'[1]2026DriverPoints'!$A$1:$B$23,2,FALSE )</f>
        <v>-23</v>
      </c>
      <c r="H32">
        <f>G32-Table2[[#This Row],[Predicted Points]]</f>
        <v>-23</v>
      </c>
    </row>
    <row r="33" spans="1:8" x14ac:dyDescent="0.2">
      <c r="A33">
        <v>1</v>
      </c>
      <c r="B33" t="s">
        <v>119</v>
      </c>
      <c r="C33" t="s">
        <v>110</v>
      </c>
      <c r="G33">
        <f>VLOOKUP($B33,'[1]2026DriverPoints'!$A$1:$B$23,2,FALSE )</f>
        <v>-14</v>
      </c>
      <c r="H33">
        <f>G33-Table2[[#This Row],[Predicted Points]]</f>
        <v>-14</v>
      </c>
    </row>
    <row r="34" spans="1:8" x14ac:dyDescent="0.2">
      <c r="A34">
        <v>1</v>
      </c>
      <c r="B34" t="s">
        <v>154</v>
      </c>
      <c r="C34" t="s">
        <v>149</v>
      </c>
      <c r="G34">
        <f>VLOOKUP($B34,'[1]2026ConstructorPoints'!$A$1:$B$12,2,FALSE )</f>
        <v>-38</v>
      </c>
      <c r="H34">
        <f>G34-Table2[[#This Row],[Predicted Points]]</f>
        <v>-38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BE0A-32BD-0E49-8390-AEFF6E78917B}">
  <dimension ref="B2:M14"/>
  <sheetViews>
    <sheetView workbookViewId="0">
      <selection activeCell="G49" sqref="G48:G49"/>
    </sheetView>
  </sheetViews>
  <sheetFormatPr baseColWidth="10" defaultRowHeight="16" x14ac:dyDescent="0.2"/>
  <cols>
    <col min="2" max="2" width="32.1640625" bestFit="1" customWidth="1"/>
    <col min="3" max="3" width="11.6640625" bestFit="1" customWidth="1"/>
    <col min="4" max="4" width="11.5" bestFit="1" customWidth="1"/>
    <col min="9" max="9" width="36" bestFit="1" customWidth="1"/>
    <col min="10" max="10" width="22.83203125" bestFit="1" customWidth="1"/>
    <col min="11" max="11" width="22.6640625" customWidth="1"/>
    <col min="12" max="12" width="34.6640625" bestFit="1" customWidth="1"/>
    <col min="13" max="13" width="35.33203125" bestFit="1" customWidth="1"/>
  </cols>
  <sheetData>
    <row r="2" spans="2:13" x14ac:dyDescent="0.2">
      <c r="B2" s="1" t="s">
        <v>108</v>
      </c>
      <c r="C2" s="1" t="s">
        <v>98</v>
      </c>
      <c r="D2" s="1" t="s">
        <v>100</v>
      </c>
      <c r="E2" s="1" t="s">
        <v>99</v>
      </c>
      <c r="F2" s="1" t="s">
        <v>101</v>
      </c>
      <c r="G2" s="1" t="s">
        <v>96</v>
      </c>
      <c r="H2" s="1" t="s">
        <v>97</v>
      </c>
      <c r="I2" s="1" t="s">
        <v>105</v>
      </c>
      <c r="J2" s="1" t="s">
        <v>104</v>
      </c>
      <c r="K2" s="1" t="s">
        <v>106</v>
      </c>
      <c r="L2" s="1" t="s">
        <v>102</v>
      </c>
      <c r="M2" s="1" t="s">
        <v>103</v>
      </c>
    </row>
    <row r="3" spans="2:13" x14ac:dyDescent="0.2">
      <c r="B3" s="7" t="s">
        <v>87</v>
      </c>
      <c r="C3" s="7"/>
      <c r="D3" s="7"/>
      <c r="E3" s="7"/>
      <c r="F3" s="7"/>
      <c r="G3" s="7">
        <v>12.356999999999999</v>
      </c>
      <c r="H3" s="7">
        <v>16.077000000000002</v>
      </c>
    </row>
    <row r="4" spans="2:13" x14ac:dyDescent="0.2">
      <c r="B4" t="s">
        <v>88</v>
      </c>
      <c r="C4">
        <v>13.2</v>
      </c>
      <c r="D4">
        <v>3.99</v>
      </c>
      <c r="E4">
        <v>9.19</v>
      </c>
      <c r="F4">
        <v>12.78</v>
      </c>
      <c r="G4">
        <v>10.593999999999999</v>
      </c>
      <c r="H4">
        <v>14.064</v>
      </c>
      <c r="I4">
        <f>E4-G4</f>
        <v>-1.4039999999999999</v>
      </c>
      <c r="J4">
        <f>F4-H4</f>
        <v>-1.2840000000000007</v>
      </c>
      <c r="K4">
        <f>C4-G4</f>
        <v>2.6059999999999999</v>
      </c>
      <c r="L4" s="6">
        <f>($G$3-G4)/$G$3</f>
        <v>0.14267216962045803</v>
      </c>
      <c r="M4" s="6">
        <f>($H$3-H4)/$H$3</f>
        <v>0.12520992722522867</v>
      </c>
    </row>
    <row r="5" spans="2:13" x14ac:dyDescent="0.2">
      <c r="B5" t="s">
        <v>89</v>
      </c>
      <c r="C5">
        <v>11.288</v>
      </c>
      <c r="D5">
        <v>1.0660000000000001</v>
      </c>
      <c r="E5">
        <v>9.19</v>
      </c>
      <c r="F5">
        <v>12.787000000000001</v>
      </c>
      <c r="G5">
        <v>10.56</v>
      </c>
      <c r="H5">
        <v>14.04</v>
      </c>
      <c r="I5">
        <f t="shared" ref="I5:I8" si="0">E5-G5</f>
        <v>-1.370000000000001</v>
      </c>
      <c r="J5">
        <f t="shared" ref="J5:J8" si="1">F5-H5</f>
        <v>-1.2529999999999983</v>
      </c>
      <c r="K5">
        <f t="shared" ref="K5:K8" si="2">C5-G5</f>
        <v>0.72799999999999976</v>
      </c>
      <c r="L5" s="6">
        <f t="shared" ref="L5:L8" si="3">($G$3-G5)/$G$3</f>
        <v>0.14542364651614462</v>
      </c>
      <c r="M5" s="6">
        <f t="shared" ref="M5:M8" si="4">($H$3-H5)/$H$3</f>
        <v>0.12670274304907647</v>
      </c>
    </row>
    <row r="6" spans="2:13" x14ac:dyDescent="0.2">
      <c r="B6" t="s">
        <v>95</v>
      </c>
      <c r="C6">
        <v>11.377000000000001</v>
      </c>
      <c r="D6">
        <v>1.22</v>
      </c>
      <c r="E6">
        <v>9.19</v>
      </c>
      <c r="F6">
        <v>12.8</v>
      </c>
      <c r="G6">
        <v>10.53</v>
      </c>
      <c r="H6">
        <v>14.05</v>
      </c>
      <c r="I6">
        <f t="shared" si="0"/>
        <v>-1.3399999999999999</v>
      </c>
      <c r="J6">
        <f t="shared" si="1"/>
        <v>-1.25</v>
      </c>
      <c r="K6">
        <f t="shared" si="2"/>
        <v>0.84700000000000131</v>
      </c>
      <c r="L6" s="6">
        <f t="shared" si="3"/>
        <v>0.14785142024763293</v>
      </c>
      <c r="M6" s="6">
        <f t="shared" si="4"/>
        <v>0.12608073645580647</v>
      </c>
    </row>
    <row r="7" spans="2:13" x14ac:dyDescent="0.2">
      <c r="B7" t="s">
        <v>94</v>
      </c>
      <c r="C7">
        <v>11.1</v>
      </c>
      <c r="D7">
        <v>0.94499999999999995</v>
      </c>
      <c r="E7">
        <v>9.1999999999999993</v>
      </c>
      <c r="F7">
        <v>12.83</v>
      </c>
      <c r="G7">
        <v>10.5</v>
      </c>
      <c r="H7">
        <v>14.05</v>
      </c>
      <c r="I7">
        <f t="shared" si="0"/>
        <v>-1.3000000000000007</v>
      </c>
      <c r="J7">
        <f t="shared" si="1"/>
        <v>-1.2200000000000006</v>
      </c>
      <c r="K7">
        <f t="shared" si="2"/>
        <v>0.59999999999999964</v>
      </c>
      <c r="L7" s="6">
        <f t="shared" si="3"/>
        <v>0.1502791939791211</v>
      </c>
      <c r="M7" s="6">
        <f t="shared" si="4"/>
        <v>0.12608073645580647</v>
      </c>
    </row>
    <row r="8" spans="2:13" x14ac:dyDescent="0.2">
      <c r="B8" t="s">
        <v>90</v>
      </c>
      <c r="C8">
        <v>10.43</v>
      </c>
      <c r="D8">
        <v>0.98</v>
      </c>
      <c r="E8">
        <v>6.58</v>
      </c>
      <c r="F8">
        <v>9.31</v>
      </c>
      <c r="G8">
        <v>10.66</v>
      </c>
      <c r="H8">
        <v>14.41</v>
      </c>
      <c r="I8" s="2">
        <f t="shared" si="0"/>
        <v>-4.08</v>
      </c>
      <c r="J8" s="2">
        <f t="shared" si="1"/>
        <v>-5.0999999999999996</v>
      </c>
      <c r="K8">
        <f t="shared" si="2"/>
        <v>-0.23000000000000043</v>
      </c>
      <c r="L8" s="6">
        <f t="shared" si="3"/>
        <v>0.13733106741118389</v>
      </c>
      <c r="M8" s="6">
        <f t="shared" si="4"/>
        <v>0.10368849909809053</v>
      </c>
    </row>
    <row r="10" spans="2:13" x14ac:dyDescent="0.2">
      <c r="B10" s="1" t="s">
        <v>109</v>
      </c>
      <c r="C10" s="1" t="s">
        <v>107</v>
      </c>
      <c r="D10" s="1" t="s">
        <v>96</v>
      </c>
    </row>
    <row r="11" spans="2:13" x14ac:dyDescent="0.2">
      <c r="B11" t="s">
        <v>89</v>
      </c>
      <c r="C11">
        <v>9.6999999999999993</v>
      </c>
      <c r="D11">
        <v>10.54</v>
      </c>
      <c r="L11" s="5"/>
    </row>
    <row r="12" spans="2:13" x14ac:dyDescent="0.2">
      <c r="B12" t="s">
        <v>95</v>
      </c>
      <c r="C12">
        <v>9.6999999999999993</v>
      </c>
      <c r="D12">
        <v>10.74</v>
      </c>
    </row>
    <row r="13" spans="2:13" x14ac:dyDescent="0.2">
      <c r="B13" t="s">
        <v>94</v>
      </c>
      <c r="C13">
        <v>9.6999999999999993</v>
      </c>
      <c r="D13">
        <v>10.723000000000001</v>
      </c>
    </row>
    <row r="14" spans="2:13" x14ac:dyDescent="0.2">
      <c r="B14" t="s">
        <v>90</v>
      </c>
      <c r="C14">
        <v>9.8000000000000007</v>
      </c>
      <c r="D14">
        <v>10.61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3923-9D72-0F43-8852-34E898E03AEC}">
  <dimension ref="B3:H5"/>
  <sheetViews>
    <sheetView workbookViewId="0">
      <selection activeCell="C9" sqref="C9:D9"/>
    </sheetView>
  </sheetViews>
  <sheetFormatPr baseColWidth="10" defaultRowHeight="16" x14ac:dyDescent="0.2"/>
  <sheetData>
    <row r="3" spans="2:8" x14ac:dyDescent="0.2">
      <c r="B3" t="s">
        <v>71</v>
      </c>
      <c r="H3" t="s">
        <v>68</v>
      </c>
    </row>
    <row r="4" spans="2:8" x14ac:dyDescent="0.2">
      <c r="B4" t="s">
        <v>72</v>
      </c>
      <c r="H4" t="s">
        <v>69</v>
      </c>
    </row>
    <row r="5" spans="2:8" x14ac:dyDescent="0.2">
      <c r="H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CDF5-05FC-9645-86F5-29AA49D27163}">
  <dimension ref="A1:K55"/>
  <sheetViews>
    <sheetView topLeftCell="A8" workbookViewId="0">
      <selection activeCell="A43" sqref="A23:A43"/>
    </sheetView>
  </sheetViews>
  <sheetFormatPr baseColWidth="10" defaultRowHeight="16" x14ac:dyDescent="0.2"/>
  <cols>
    <col min="3" max="3" width="34.1640625" bestFit="1" customWidth="1"/>
    <col min="4" max="4" width="34.1640625" customWidth="1"/>
    <col min="5" max="5" width="37.5" bestFit="1" customWidth="1"/>
    <col min="6" max="6" width="27.5" customWidth="1"/>
    <col min="7" max="7" width="11.33203125" customWidth="1"/>
    <col min="11" max="11" width="15.33203125" bestFit="1" customWidth="1"/>
  </cols>
  <sheetData>
    <row r="1" spans="1:10" x14ac:dyDescent="0.2">
      <c r="A1" t="s">
        <v>52</v>
      </c>
      <c r="B1" t="s">
        <v>54</v>
      </c>
      <c r="C1" s="1" t="s">
        <v>0</v>
      </c>
      <c r="D1" s="1" t="s">
        <v>86</v>
      </c>
      <c r="E1" t="s">
        <v>30</v>
      </c>
      <c r="F1" t="s">
        <v>38</v>
      </c>
      <c r="G1" t="s">
        <v>37</v>
      </c>
    </row>
    <row r="2" spans="1:10" x14ac:dyDescent="0.2">
      <c r="A2">
        <v>1</v>
      </c>
      <c r="B2" t="s">
        <v>55</v>
      </c>
      <c r="C2" t="s">
        <v>1</v>
      </c>
      <c r="E2" t="s">
        <v>31</v>
      </c>
      <c r="F2" t="s">
        <v>39</v>
      </c>
      <c r="G2" t="s">
        <v>67</v>
      </c>
    </row>
    <row r="3" spans="1:10" x14ac:dyDescent="0.2">
      <c r="A3">
        <v>1</v>
      </c>
      <c r="B3" t="s">
        <v>55</v>
      </c>
      <c r="C3" t="s">
        <v>51</v>
      </c>
      <c r="E3" t="s">
        <v>31</v>
      </c>
      <c r="F3" t="s">
        <v>39</v>
      </c>
      <c r="G3" t="s">
        <v>67</v>
      </c>
    </row>
    <row r="4" spans="1:10" x14ac:dyDescent="0.2">
      <c r="A4">
        <v>1</v>
      </c>
      <c r="B4" t="s">
        <v>55</v>
      </c>
      <c r="C4" t="s">
        <v>2</v>
      </c>
      <c r="E4" t="s">
        <v>65</v>
      </c>
      <c r="F4" t="s">
        <v>40</v>
      </c>
      <c r="G4" t="s">
        <v>67</v>
      </c>
    </row>
    <row r="5" spans="1:10" x14ac:dyDescent="0.2">
      <c r="A5">
        <v>1</v>
      </c>
      <c r="B5" t="s">
        <v>55</v>
      </c>
      <c r="C5" t="s">
        <v>78</v>
      </c>
      <c r="E5" t="s">
        <v>79</v>
      </c>
      <c r="F5" t="s">
        <v>39</v>
      </c>
      <c r="G5" t="s">
        <v>67</v>
      </c>
    </row>
    <row r="6" spans="1:10" x14ac:dyDescent="0.2">
      <c r="A6">
        <v>1</v>
      </c>
      <c r="B6" t="s">
        <v>55</v>
      </c>
      <c r="C6" t="s">
        <v>80</v>
      </c>
      <c r="E6" t="s">
        <v>79</v>
      </c>
      <c r="F6" t="s">
        <v>39</v>
      </c>
      <c r="G6" t="s">
        <v>67</v>
      </c>
    </row>
    <row r="7" spans="1:10" x14ac:dyDescent="0.2">
      <c r="A7">
        <v>1</v>
      </c>
      <c r="B7" t="s">
        <v>55</v>
      </c>
      <c r="C7" t="s">
        <v>3</v>
      </c>
      <c r="E7" t="s">
        <v>31</v>
      </c>
      <c r="F7" t="s">
        <v>40</v>
      </c>
      <c r="G7" t="s">
        <v>67</v>
      </c>
    </row>
    <row r="8" spans="1:10" x14ac:dyDescent="0.2">
      <c r="A8">
        <v>1</v>
      </c>
      <c r="B8" s="4" t="s">
        <v>55</v>
      </c>
      <c r="C8" t="s">
        <v>7</v>
      </c>
      <c r="E8" t="s">
        <v>32</v>
      </c>
      <c r="F8" t="s">
        <v>39</v>
      </c>
      <c r="G8" t="s">
        <v>67</v>
      </c>
    </row>
    <row r="9" spans="1:10" x14ac:dyDescent="0.2">
      <c r="A9">
        <v>1</v>
      </c>
      <c r="B9" t="s">
        <v>55</v>
      </c>
      <c r="C9" s="2" t="s">
        <v>6</v>
      </c>
      <c r="D9" s="2"/>
      <c r="E9" t="s">
        <v>31</v>
      </c>
      <c r="F9" t="s">
        <v>39</v>
      </c>
      <c r="G9" t="s">
        <v>67</v>
      </c>
    </row>
    <row r="10" spans="1:10" x14ac:dyDescent="0.2">
      <c r="A10">
        <v>1</v>
      </c>
      <c r="B10" t="s">
        <v>55</v>
      </c>
      <c r="C10" t="s">
        <v>4</v>
      </c>
      <c r="E10" t="s">
        <v>34</v>
      </c>
      <c r="F10" t="s">
        <v>39</v>
      </c>
      <c r="G10" t="s">
        <v>77</v>
      </c>
    </row>
    <row r="11" spans="1:10" x14ac:dyDescent="0.2">
      <c r="A11">
        <v>1</v>
      </c>
      <c r="B11" t="s">
        <v>55</v>
      </c>
      <c r="C11" t="s">
        <v>81</v>
      </c>
      <c r="E11" t="s">
        <v>79</v>
      </c>
      <c r="F11" t="s">
        <v>39</v>
      </c>
      <c r="G11" t="s">
        <v>67</v>
      </c>
    </row>
    <row r="12" spans="1:10" x14ac:dyDescent="0.2">
      <c r="A12">
        <v>1</v>
      </c>
      <c r="B12" s="4" t="s">
        <v>55</v>
      </c>
      <c r="C12" t="s">
        <v>82</v>
      </c>
      <c r="E12" t="s">
        <v>79</v>
      </c>
      <c r="F12" t="s">
        <v>39</v>
      </c>
      <c r="G12" t="s">
        <v>67</v>
      </c>
    </row>
    <row r="13" spans="1:10" x14ac:dyDescent="0.2">
      <c r="A13">
        <v>1</v>
      </c>
      <c r="B13" s="4" t="s">
        <v>55</v>
      </c>
      <c r="C13" t="s">
        <v>83</v>
      </c>
      <c r="E13" t="s">
        <v>79</v>
      </c>
      <c r="F13" t="s">
        <v>39</v>
      </c>
      <c r="G13" t="s">
        <v>67</v>
      </c>
    </row>
    <row r="14" spans="1:10" x14ac:dyDescent="0.2">
      <c r="A14">
        <v>1</v>
      </c>
      <c r="B14" s="4" t="s">
        <v>55</v>
      </c>
      <c r="C14" t="s">
        <v>84</v>
      </c>
      <c r="E14" t="s">
        <v>79</v>
      </c>
      <c r="F14" t="s">
        <v>39</v>
      </c>
      <c r="G14" t="s">
        <v>67</v>
      </c>
    </row>
    <row r="15" spans="1:10" x14ac:dyDescent="0.2">
      <c r="A15">
        <v>1</v>
      </c>
      <c r="B15" s="4" t="s">
        <v>55</v>
      </c>
      <c r="C15" t="s">
        <v>85</v>
      </c>
      <c r="E15" t="s">
        <v>79</v>
      </c>
      <c r="F15" t="s">
        <v>39</v>
      </c>
      <c r="G15" t="s">
        <v>67</v>
      </c>
    </row>
    <row r="16" spans="1:10" x14ac:dyDescent="0.2">
      <c r="A16">
        <v>1</v>
      </c>
      <c r="B16" s="4" t="s">
        <v>55</v>
      </c>
      <c r="C16" t="s">
        <v>8</v>
      </c>
      <c r="E16" t="s">
        <v>32</v>
      </c>
      <c r="F16" t="s">
        <v>53</v>
      </c>
      <c r="G16" t="s">
        <v>67</v>
      </c>
      <c r="J16" t="s">
        <v>61</v>
      </c>
    </row>
    <row r="17" spans="1:11" x14ac:dyDescent="0.2">
      <c r="A17">
        <v>1</v>
      </c>
      <c r="B17" s="4" t="s">
        <v>55</v>
      </c>
      <c r="C17" t="s">
        <v>9</v>
      </c>
      <c r="E17" t="s">
        <v>32</v>
      </c>
      <c r="F17" t="s">
        <v>39</v>
      </c>
      <c r="G17" t="s">
        <v>67</v>
      </c>
      <c r="J17" t="s">
        <v>62</v>
      </c>
      <c r="K17" t="s">
        <v>63</v>
      </c>
    </row>
    <row r="18" spans="1:11" x14ac:dyDescent="0.2">
      <c r="A18">
        <v>1</v>
      </c>
      <c r="B18" s="4" t="s">
        <v>55</v>
      </c>
      <c r="C18" t="s">
        <v>10</v>
      </c>
      <c r="E18" t="s">
        <v>31</v>
      </c>
      <c r="F18" t="s">
        <v>53</v>
      </c>
      <c r="G18" t="s">
        <v>67</v>
      </c>
      <c r="J18" t="s">
        <v>56</v>
      </c>
      <c r="K18" t="s">
        <v>64</v>
      </c>
    </row>
    <row r="19" spans="1:11" x14ac:dyDescent="0.2">
      <c r="A19">
        <v>1</v>
      </c>
      <c r="B19" s="4" t="s">
        <v>55</v>
      </c>
      <c r="C19" t="s">
        <v>11</v>
      </c>
      <c r="E19" t="s">
        <v>31</v>
      </c>
      <c r="G19" t="s">
        <v>67</v>
      </c>
    </row>
    <row r="20" spans="1:11" x14ac:dyDescent="0.2">
      <c r="A20">
        <v>1</v>
      </c>
      <c r="B20" s="4" t="s">
        <v>55</v>
      </c>
      <c r="C20" t="s">
        <v>73</v>
      </c>
      <c r="E20" t="s">
        <v>75</v>
      </c>
      <c r="G20" t="s">
        <v>67</v>
      </c>
    </row>
    <row r="21" spans="1:11" x14ac:dyDescent="0.2">
      <c r="A21">
        <v>1</v>
      </c>
      <c r="B21" s="4" t="s">
        <v>55</v>
      </c>
      <c r="C21" t="s">
        <v>74</v>
      </c>
      <c r="E21" t="s">
        <v>75</v>
      </c>
      <c r="G21" t="s">
        <v>67</v>
      </c>
    </row>
    <row r="22" spans="1:11" x14ac:dyDescent="0.2">
      <c r="A22">
        <v>1</v>
      </c>
      <c r="B22" s="4" t="s">
        <v>55</v>
      </c>
      <c r="C22" t="s">
        <v>11</v>
      </c>
      <c r="E22" t="s">
        <v>32</v>
      </c>
      <c r="F22" t="s">
        <v>53</v>
      </c>
      <c r="G22" t="s">
        <v>67</v>
      </c>
    </row>
    <row r="23" spans="1:11" x14ac:dyDescent="0.2">
      <c r="A23">
        <v>2</v>
      </c>
      <c r="B23" s="4" t="s">
        <v>55</v>
      </c>
      <c r="C23" t="s">
        <v>93</v>
      </c>
    </row>
    <row r="24" spans="1:11" x14ac:dyDescent="0.2">
      <c r="A24">
        <v>2</v>
      </c>
      <c r="B24" s="4" t="s">
        <v>55</v>
      </c>
      <c r="C24" t="s">
        <v>91</v>
      </c>
      <c r="E24" t="s">
        <v>92</v>
      </c>
    </row>
    <row r="25" spans="1:11" x14ac:dyDescent="0.2">
      <c r="A25">
        <v>2</v>
      </c>
      <c r="B25" s="4" t="s">
        <v>55</v>
      </c>
      <c r="C25" t="s">
        <v>12</v>
      </c>
      <c r="E25" t="s">
        <v>76</v>
      </c>
      <c r="F25" t="s">
        <v>53</v>
      </c>
      <c r="G25" t="s">
        <v>67</v>
      </c>
    </row>
    <row r="26" spans="1:11" hidden="1" x14ac:dyDescent="0.2">
      <c r="A26">
        <v>1</v>
      </c>
      <c r="B26" t="s">
        <v>56</v>
      </c>
      <c r="C26" t="s">
        <v>13</v>
      </c>
      <c r="E26" t="s">
        <v>33</v>
      </c>
      <c r="F26" t="s">
        <v>53</v>
      </c>
    </row>
    <row r="27" spans="1:11" x14ac:dyDescent="0.2">
      <c r="A27">
        <v>2</v>
      </c>
      <c r="B27" s="4" t="s">
        <v>55</v>
      </c>
      <c r="C27" t="s">
        <v>15</v>
      </c>
      <c r="E27" t="s">
        <v>76</v>
      </c>
      <c r="F27" t="s">
        <v>53</v>
      </c>
      <c r="G27" t="s">
        <v>67</v>
      </c>
    </row>
    <row r="28" spans="1:11" hidden="1" x14ac:dyDescent="0.2">
      <c r="A28">
        <v>1</v>
      </c>
      <c r="B28" t="s">
        <v>56</v>
      </c>
      <c r="C28" t="s">
        <v>17</v>
      </c>
      <c r="E28" t="s">
        <v>33</v>
      </c>
    </row>
    <row r="29" spans="1:11" x14ac:dyDescent="0.2">
      <c r="A29">
        <v>2</v>
      </c>
      <c r="B29" s="4" t="s">
        <v>55</v>
      </c>
      <c r="C29" t="s">
        <v>66</v>
      </c>
      <c r="E29" t="s">
        <v>76</v>
      </c>
      <c r="G29" t="s">
        <v>67</v>
      </c>
    </row>
    <row r="30" spans="1:11" x14ac:dyDescent="0.2">
      <c r="A30">
        <v>2</v>
      </c>
      <c r="B30" s="4" t="s">
        <v>55</v>
      </c>
      <c r="C30" t="s">
        <v>5</v>
      </c>
      <c r="E30" t="s">
        <v>33</v>
      </c>
      <c r="F30" t="s">
        <v>39</v>
      </c>
    </row>
    <row r="31" spans="1:11" x14ac:dyDescent="0.2">
      <c r="A31">
        <v>2</v>
      </c>
      <c r="B31" s="4" t="s">
        <v>55</v>
      </c>
      <c r="C31" t="s">
        <v>14</v>
      </c>
      <c r="E31" t="s">
        <v>33</v>
      </c>
    </row>
    <row r="32" spans="1:11" hidden="1" x14ac:dyDescent="0.2">
      <c r="A32">
        <v>2</v>
      </c>
      <c r="B32" t="s">
        <v>56</v>
      </c>
      <c r="C32" t="s">
        <v>16</v>
      </c>
      <c r="E32" t="s">
        <v>33</v>
      </c>
    </row>
    <row r="33" spans="1:6" x14ac:dyDescent="0.2">
      <c r="A33">
        <v>2</v>
      </c>
      <c r="B33" s="4" t="s">
        <v>55</v>
      </c>
      <c r="C33" t="s">
        <v>18</v>
      </c>
      <c r="E33" t="s">
        <v>33</v>
      </c>
    </row>
    <row r="34" spans="1:6" x14ac:dyDescent="0.2">
      <c r="A34">
        <v>2</v>
      </c>
      <c r="B34" s="4" t="s">
        <v>55</v>
      </c>
      <c r="C34" t="s">
        <v>19</v>
      </c>
      <c r="E34" t="s">
        <v>33</v>
      </c>
    </row>
    <row r="35" spans="1:6" x14ac:dyDescent="0.2">
      <c r="A35">
        <v>2</v>
      </c>
      <c r="B35" s="4" t="s">
        <v>55</v>
      </c>
      <c r="C35" t="s">
        <v>59</v>
      </c>
      <c r="E35" t="s">
        <v>33</v>
      </c>
    </row>
    <row r="36" spans="1:6" x14ac:dyDescent="0.2">
      <c r="A36">
        <v>2</v>
      </c>
      <c r="B36" s="4" t="s">
        <v>55</v>
      </c>
      <c r="C36" t="s">
        <v>58</v>
      </c>
      <c r="E36" t="s">
        <v>33</v>
      </c>
    </row>
    <row r="37" spans="1:6" x14ac:dyDescent="0.2">
      <c r="A37">
        <v>2</v>
      </c>
      <c r="B37" s="4" t="s">
        <v>55</v>
      </c>
      <c r="C37" t="s">
        <v>21</v>
      </c>
      <c r="E37" t="s">
        <v>33</v>
      </c>
    </row>
    <row r="38" spans="1:6" x14ac:dyDescent="0.2">
      <c r="A38">
        <v>2</v>
      </c>
      <c r="B38" s="4" t="s">
        <v>55</v>
      </c>
      <c r="C38" t="s">
        <v>22</v>
      </c>
      <c r="E38" t="s">
        <v>33</v>
      </c>
    </row>
    <row r="39" spans="1:6" x14ac:dyDescent="0.2">
      <c r="A39">
        <v>2</v>
      </c>
      <c r="B39" s="4" t="s">
        <v>55</v>
      </c>
      <c r="C39" t="s">
        <v>23</v>
      </c>
      <c r="E39" t="s">
        <v>33</v>
      </c>
    </row>
    <row r="40" spans="1:6" x14ac:dyDescent="0.2">
      <c r="A40">
        <v>2</v>
      </c>
      <c r="B40" s="4" t="s">
        <v>55</v>
      </c>
      <c r="C40" t="s">
        <v>24</v>
      </c>
      <c r="E40" t="s">
        <v>33</v>
      </c>
    </row>
    <row r="41" spans="1:6" x14ac:dyDescent="0.2">
      <c r="A41">
        <v>2</v>
      </c>
      <c r="B41" s="4" t="s">
        <v>55</v>
      </c>
      <c r="C41" t="s">
        <v>25</v>
      </c>
      <c r="E41" t="s">
        <v>33</v>
      </c>
    </row>
    <row r="42" spans="1:6" x14ac:dyDescent="0.2">
      <c r="A42">
        <v>2</v>
      </c>
      <c r="B42" s="4" t="s">
        <v>55</v>
      </c>
      <c r="C42" t="s">
        <v>48</v>
      </c>
      <c r="E42" s="3" t="s">
        <v>31</v>
      </c>
      <c r="F42" s="3"/>
    </row>
    <row r="43" spans="1:6" x14ac:dyDescent="0.2">
      <c r="A43">
        <v>2</v>
      </c>
      <c r="B43" s="4" t="s">
        <v>55</v>
      </c>
      <c r="C43" t="s">
        <v>41</v>
      </c>
      <c r="E43" s="3" t="s">
        <v>31</v>
      </c>
    </row>
    <row r="44" spans="1:6" x14ac:dyDescent="0.2">
      <c r="A44">
        <v>3</v>
      </c>
      <c r="B44" s="4" t="s">
        <v>55</v>
      </c>
      <c r="C44" t="s">
        <v>57</v>
      </c>
      <c r="E44" t="s">
        <v>33</v>
      </c>
    </row>
    <row r="45" spans="1:6" x14ac:dyDescent="0.2">
      <c r="A45">
        <v>3</v>
      </c>
      <c r="B45" s="4" t="s">
        <v>55</v>
      </c>
      <c r="C45" t="s">
        <v>20</v>
      </c>
      <c r="E45" t="s">
        <v>33</v>
      </c>
    </row>
    <row r="46" spans="1:6" x14ac:dyDescent="0.2">
      <c r="A46">
        <v>3</v>
      </c>
      <c r="B46" s="4" t="s">
        <v>55</v>
      </c>
      <c r="C46" t="s">
        <v>29</v>
      </c>
      <c r="E46" t="s">
        <v>33</v>
      </c>
    </row>
    <row r="47" spans="1:6" x14ac:dyDescent="0.2">
      <c r="A47">
        <v>3</v>
      </c>
      <c r="B47" s="4" t="s">
        <v>55</v>
      </c>
      <c r="C47" t="s">
        <v>26</v>
      </c>
      <c r="E47" t="s">
        <v>35</v>
      </c>
    </row>
    <row r="48" spans="1:6" x14ac:dyDescent="0.2">
      <c r="A48">
        <v>3</v>
      </c>
      <c r="B48" s="4" t="s">
        <v>55</v>
      </c>
      <c r="C48" t="s">
        <v>27</v>
      </c>
      <c r="E48" t="s">
        <v>36</v>
      </c>
    </row>
    <row r="49" spans="1:6" x14ac:dyDescent="0.2">
      <c r="A49">
        <v>3</v>
      </c>
      <c r="B49" s="4" t="s">
        <v>55</v>
      </c>
      <c r="C49" t="s">
        <v>28</v>
      </c>
      <c r="E49" s="3" t="s">
        <v>33</v>
      </c>
      <c r="F49" s="3" t="s">
        <v>60</v>
      </c>
    </row>
    <row r="50" spans="1:6" x14ac:dyDescent="0.2">
      <c r="A50">
        <v>3</v>
      </c>
      <c r="B50" s="4" t="s">
        <v>55</v>
      </c>
      <c r="C50" t="s">
        <v>42</v>
      </c>
      <c r="E50" s="3" t="s">
        <v>33</v>
      </c>
    </row>
    <row r="51" spans="1:6" x14ac:dyDescent="0.2">
      <c r="A51">
        <v>3</v>
      </c>
      <c r="B51" s="4" t="s">
        <v>55</v>
      </c>
      <c r="C51" t="s">
        <v>43</v>
      </c>
      <c r="E51" t="s">
        <v>47</v>
      </c>
    </row>
    <row r="52" spans="1:6" x14ac:dyDescent="0.2">
      <c r="A52">
        <v>3</v>
      </c>
      <c r="B52" s="4" t="s">
        <v>55</v>
      </c>
      <c r="C52" t="s">
        <v>44</v>
      </c>
      <c r="E52" t="s">
        <v>46</v>
      </c>
    </row>
    <row r="53" spans="1:6" x14ac:dyDescent="0.2">
      <c r="A53">
        <v>3</v>
      </c>
      <c r="B53" s="4" t="s">
        <v>55</v>
      </c>
      <c r="C53" t="s">
        <v>45</v>
      </c>
      <c r="E53" t="s">
        <v>46</v>
      </c>
    </row>
    <row r="54" spans="1:6" x14ac:dyDescent="0.2">
      <c r="A54">
        <v>3</v>
      </c>
      <c r="B54" s="4" t="s">
        <v>55</v>
      </c>
      <c r="C54" t="s">
        <v>49</v>
      </c>
      <c r="E54" t="s">
        <v>46</v>
      </c>
    </row>
    <row r="55" spans="1:6" x14ac:dyDescent="0.2">
      <c r="A55">
        <v>3</v>
      </c>
      <c r="B55" s="4" t="s">
        <v>55</v>
      </c>
      <c r="C55" t="s">
        <v>50</v>
      </c>
      <c r="E55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7ECF-3B0E-BA46-812D-AE5953F82593}">
  <dimension ref="B1:D24"/>
  <sheetViews>
    <sheetView tabSelected="1" workbookViewId="0">
      <selection activeCell="G17" sqref="G17"/>
    </sheetView>
  </sheetViews>
  <sheetFormatPr baseColWidth="10" defaultRowHeight="16" x14ac:dyDescent="0.2"/>
  <cols>
    <col min="2" max="2" width="43" bestFit="1" customWidth="1"/>
  </cols>
  <sheetData>
    <row r="1" spans="2:4" x14ac:dyDescent="0.2">
      <c r="B1" t="s">
        <v>162</v>
      </c>
      <c r="C1" t="s">
        <v>185</v>
      </c>
      <c r="D1" t="s">
        <v>37</v>
      </c>
    </row>
    <row r="2" spans="2:4" x14ac:dyDescent="0.2">
      <c r="B2" t="s">
        <v>181</v>
      </c>
      <c r="C2" t="s">
        <v>183</v>
      </c>
    </row>
    <row r="3" spans="2:4" x14ac:dyDescent="0.2">
      <c r="B3" t="s">
        <v>164</v>
      </c>
      <c r="C3" t="s">
        <v>163</v>
      </c>
      <c r="D3" t="s">
        <v>67</v>
      </c>
    </row>
    <row r="4" spans="2:4" x14ac:dyDescent="0.2">
      <c r="B4" t="s">
        <v>165</v>
      </c>
      <c r="C4" t="s">
        <v>163</v>
      </c>
      <c r="D4" t="s">
        <v>67</v>
      </c>
    </row>
    <row r="5" spans="2:4" x14ac:dyDescent="0.2">
      <c r="B5" t="s">
        <v>182</v>
      </c>
      <c r="C5" t="s">
        <v>163</v>
      </c>
    </row>
    <row r="6" spans="2:4" x14ac:dyDescent="0.2">
      <c r="B6" t="s">
        <v>186</v>
      </c>
      <c r="C6" t="s">
        <v>163</v>
      </c>
      <c r="D6" t="s">
        <v>67</v>
      </c>
    </row>
    <row r="7" spans="2:4" x14ac:dyDescent="0.2">
      <c r="B7" t="s">
        <v>187</v>
      </c>
      <c r="C7" t="s">
        <v>183</v>
      </c>
    </row>
    <row r="8" spans="2:4" x14ac:dyDescent="0.2">
      <c r="B8" t="s">
        <v>166</v>
      </c>
      <c r="C8" t="s">
        <v>168</v>
      </c>
      <c r="D8" t="s">
        <v>67</v>
      </c>
    </row>
    <row r="9" spans="2:4" x14ac:dyDescent="0.2">
      <c r="B9" t="s">
        <v>167</v>
      </c>
      <c r="C9" t="s">
        <v>168</v>
      </c>
      <c r="D9" t="s">
        <v>67</v>
      </c>
    </row>
    <row r="10" spans="2:4" x14ac:dyDescent="0.2">
      <c r="B10" t="s">
        <v>169</v>
      </c>
      <c r="C10" t="s">
        <v>168</v>
      </c>
      <c r="D10" t="s">
        <v>67</v>
      </c>
    </row>
    <row r="11" spans="2:4" x14ac:dyDescent="0.2">
      <c r="B11" t="s">
        <v>170</v>
      </c>
      <c r="C11" t="s">
        <v>168</v>
      </c>
      <c r="D11" t="s">
        <v>67</v>
      </c>
    </row>
    <row r="12" spans="2:4" x14ac:dyDescent="0.2">
      <c r="B12" t="s">
        <v>171</v>
      </c>
      <c r="D12" t="s">
        <v>67</v>
      </c>
    </row>
    <row r="13" spans="2:4" x14ac:dyDescent="0.2">
      <c r="B13" t="s">
        <v>172</v>
      </c>
      <c r="D13" t="s">
        <v>67</v>
      </c>
    </row>
    <row r="14" spans="2:4" x14ac:dyDescent="0.2">
      <c r="B14" t="s">
        <v>173</v>
      </c>
      <c r="D14" t="s">
        <v>67</v>
      </c>
    </row>
    <row r="15" spans="2:4" x14ac:dyDescent="0.2">
      <c r="B15" t="s">
        <v>174</v>
      </c>
      <c r="D15" t="s">
        <v>67</v>
      </c>
    </row>
    <row r="16" spans="2:4" x14ac:dyDescent="0.2">
      <c r="B16" t="s">
        <v>175</v>
      </c>
      <c r="D16" t="s">
        <v>67</v>
      </c>
    </row>
    <row r="17" spans="2:4" x14ac:dyDescent="0.2">
      <c r="B17" t="s">
        <v>176</v>
      </c>
      <c r="D17" t="s">
        <v>67</v>
      </c>
    </row>
    <row r="18" spans="2:4" x14ac:dyDescent="0.2">
      <c r="B18" t="s">
        <v>177</v>
      </c>
      <c r="D18" t="s">
        <v>67</v>
      </c>
    </row>
    <row r="19" spans="2:4" x14ac:dyDescent="0.2">
      <c r="B19" t="s">
        <v>178</v>
      </c>
      <c r="D19" t="s">
        <v>67</v>
      </c>
    </row>
    <row r="20" spans="2:4" x14ac:dyDescent="0.2">
      <c r="B20" t="s">
        <v>179</v>
      </c>
      <c r="D20" t="s">
        <v>67</v>
      </c>
    </row>
    <row r="21" spans="2:4" x14ac:dyDescent="0.2">
      <c r="B21" t="s">
        <v>180</v>
      </c>
    </row>
    <row r="23" spans="2:4" x14ac:dyDescent="0.2">
      <c r="B23" t="s">
        <v>184</v>
      </c>
    </row>
    <row r="24" spans="2:4" x14ac:dyDescent="0.2">
      <c r="B2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PostRaceEval</vt:lpstr>
      <vt:lpstr>modelPerformance</vt:lpstr>
      <vt:lpstr>Sheet2</vt:lpstr>
      <vt:lpstr>driverdf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Guptill</dc:creator>
  <cp:lastModifiedBy>Jack Guptill</cp:lastModifiedBy>
  <dcterms:created xsi:type="dcterms:W3CDTF">2026-02-26T17:21:06Z</dcterms:created>
  <dcterms:modified xsi:type="dcterms:W3CDTF">2026-03-13T14:24:55Z</dcterms:modified>
</cp:coreProperties>
</file>