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6"/>
  <workbookPr defaultThemeVersion="166925"/>
  <mc:AlternateContent xmlns:mc="http://schemas.openxmlformats.org/markup-compatibility/2006">
    <mc:Choice Requires="x15">
      <x15ac:absPath xmlns:x15ac="http://schemas.microsoft.com/office/spreadsheetml/2010/11/ac" url="/Users/jackguptill/Library/CloudStorage/OneDrive-Personal/Code/F1FantasyProject/data/raw/"/>
    </mc:Choice>
  </mc:AlternateContent>
  <xr:revisionPtr revIDLastSave="0" documentId="13_ncr:1_{54091C63-2448-3042-8777-53E6FB491FDB}" xr6:coauthVersionLast="47" xr6:coauthVersionMax="47" xr10:uidLastSave="{00000000-0000-0000-0000-000000000000}"/>
  <bookViews>
    <workbookView xWindow="28400" yWindow="0" windowWidth="10000" windowHeight="21600" firstSheet="27" activeTab="28" xr2:uid="{00000000-000D-0000-FFFF-FFFF00000000}"/>
  </bookViews>
  <sheets>
    <sheet name="2023Price" sheetId="11" r:id="rId1"/>
    <sheet name="2023Points" sheetId="8" r:id="rId2"/>
    <sheet name="2023DriverPrice" sheetId="14" r:id="rId3"/>
    <sheet name="2023ConstructorPrice" sheetId="15" r:id="rId4"/>
    <sheet name="2023DriverPoints" sheetId="9" r:id="rId5"/>
    <sheet name="2023ConstructorPoints" sheetId="10" r:id="rId6"/>
    <sheet name="2023DriverRoster" sheetId="20" r:id="rId7"/>
    <sheet name="2024Price" sheetId="12" r:id="rId8"/>
    <sheet name="2024Points" sheetId="5" r:id="rId9"/>
    <sheet name="2024DriverRoster" sheetId="21" r:id="rId10"/>
    <sheet name="2024DriverPrice" sheetId="16" r:id="rId11"/>
    <sheet name="2024ConstructorPrice" sheetId="17" r:id="rId12"/>
    <sheet name="2024DriverPoints" sheetId="6" r:id="rId13"/>
    <sheet name="2024ConstructorPoints" sheetId="7" r:id="rId14"/>
    <sheet name="2025DriverRoster" sheetId="22" r:id="rId15"/>
    <sheet name="2025Price" sheetId="13" r:id="rId16"/>
    <sheet name="2025Points" sheetId="2" r:id="rId17"/>
    <sheet name="2025DriverPrice" sheetId="18" r:id="rId18"/>
    <sheet name="2025ConstructorPrice" sheetId="19" r:id="rId19"/>
    <sheet name="2025DriverPoints" sheetId="3" r:id="rId20"/>
    <sheet name="2025ConstructorPoints" sheetId="4" r:id="rId21"/>
    <sheet name="2025DriverStandings" sheetId="30" r:id="rId22"/>
    <sheet name="2025ConstructorStandings" sheetId="31" r:id="rId23"/>
    <sheet name="2025EOSResults" sheetId="32" r:id="rId24"/>
    <sheet name="2026DriverRoster" sheetId="23" r:id="rId25"/>
    <sheet name="2026DriverPrice" sheetId="24" r:id="rId26"/>
    <sheet name="2026DriverPoints" sheetId="25" r:id="rId27"/>
    <sheet name="2026ConstructorPrice" sheetId="26" r:id="rId28"/>
    <sheet name="2026ConstructorPoints" sheetId="27" r:id="rId29"/>
    <sheet name="2026TeamConfig" sheetId="34" r:id="rId30"/>
    <sheet name="2026ConstructorStandings" sheetId="29" r:id="rId31"/>
    <sheet name="2026DriverStandings" sheetId="33" r:id="rId3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81" i="33" l="1"/>
  <c r="X81" i="33"/>
  <c r="W81" i="33"/>
  <c r="V81" i="33"/>
  <c r="U81" i="33"/>
  <c r="T81" i="33"/>
  <c r="S81" i="33"/>
  <c r="R81" i="33"/>
  <c r="Q81" i="33"/>
  <c r="P81" i="33"/>
  <c r="O81" i="33"/>
  <c r="N81" i="33"/>
  <c r="M81" i="33"/>
  <c r="L81" i="33"/>
  <c r="K81" i="33"/>
  <c r="J81" i="33"/>
  <c r="I81" i="33"/>
  <c r="H81" i="33"/>
  <c r="G81" i="33"/>
  <c r="F81" i="33"/>
  <c r="E81" i="33"/>
  <c r="D81" i="33"/>
  <c r="C81" i="33"/>
  <c r="B81" i="33"/>
  <c r="Z81" i="33" s="1"/>
  <c r="AB81" i="33" s="1"/>
  <c r="Y80" i="33"/>
  <c r="X80" i="33"/>
  <c r="W80" i="33"/>
  <c r="V80" i="33"/>
  <c r="U80" i="33"/>
  <c r="T80" i="33"/>
  <c r="S80" i="33"/>
  <c r="R80" i="33"/>
  <c r="Q80" i="33"/>
  <c r="P80" i="33"/>
  <c r="O80" i="33"/>
  <c r="N80" i="33"/>
  <c r="M80" i="33"/>
  <c r="L80" i="33"/>
  <c r="K80" i="33"/>
  <c r="J80" i="33"/>
  <c r="I80" i="33"/>
  <c r="H80" i="33"/>
  <c r="G80" i="33"/>
  <c r="F80" i="33"/>
  <c r="E80" i="33"/>
  <c r="D80" i="33"/>
  <c r="C80" i="33"/>
  <c r="B80" i="33"/>
  <c r="Z80" i="33" s="1"/>
  <c r="AB80" i="33" s="1"/>
  <c r="Y79" i="33"/>
  <c r="X79" i="33"/>
  <c r="W79" i="33"/>
  <c r="V79" i="33"/>
  <c r="U79" i="33"/>
  <c r="T79" i="33"/>
  <c r="S79" i="33"/>
  <c r="R79" i="33"/>
  <c r="Q79" i="33"/>
  <c r="P79" i="33"/>
  <c r="O79" i="33"/>
  <c r="N79" i="33"/>
  <c r="M79" i="33"/>
  <c r="L79" i="33"/>
  <c r="K79" i="33"/>
  <c r="J79" i="33"/>
  <c r="I79" i="33"/>
  <c r="H79" i="33"/>
  <c r="G79" i="33"/>
  <c r="F79" i="33"/>
  <c r="E79" i="33"/>
  <c r="D79" i="33"/>
  <c r="C79" i="33"/>
  <c r="B79" i="33"/>
  <c r="Z79" i="33" s="1"/>
  <c r="AB79" i="33" s="1"/>
  <c r="Y78" i="33"/>
  <c r="X78" i="33"/>
  <c r="W78" i="33"/>
  <c r="V78" i="33"/>
  <c r="U78" i="33"/>
  <c r="T78" i="33"/>
  <c r="S78" i="33"/>
  <c r="R78" i="33"/>
  <c r="Q78" i="33"/>
  <c r="P78" i="33"/>
  <c r="O78" i="33"/>
  <c r="N78" i="33"/>
  <c r="M78" i="33"/>
  <c r="L78" i="33"/>
  <c r="K78" i="33"/>
  <c r="J78" i="33"/>
  <c r="I78" i="33"/>
  <c r="H78" i="33"/>
  <c r="G78" i="33"/>
  <c r="F78" i="33"/>
  <c r="E78" i="33"/>
  <c r="D78" i="33"/>
  <c r="C78" i="33"/>
  <c r="B78" i="33"/>
  <c r="Z78" i="33" s="1"/>
  <c r="AB78" i="33" s="1"/>
  <c r="Y77" i="33"/>
  <c r="X77" i="33"/>
  <c r="W77" i="33"/>
  <c r="V77" i="33"/>
  <c r="U77" i="33"/>
  <c r="T77" i="33"/>
  <c r="S77" i="33"/>
  <c r="R77" i="33"/>
  <c r="Q77" i="33"/>
  <c r="P77" i="33"/>
  <c r="O77" i="33"/>
  <c r="N77" i="33"/>
  <c r="M77" i="33"/>
  <c r="L77" i="33"/>
  <c r="K77" i="33"/>
  <c r="J77" i="33"/>
  <c r="I77" i="33"/>
  <c r="H77" i="33"/>
  <c r="G77" i="33"/>
  <c r="F77" i="33"/>
  <c r="E77" i="33"/>
  <c r="D77" i="33"/>
  <c r="C77" i="33"/>
  <c r="B77" i="33"/>
  <c r="Z77" i="33" s="1"/>
  <c r="AB77" i="33" s="1"/>
  <c r="Y76" i="33"/>
  <c r="X76" i="33"/>
  <c r="W76" i="33"/>
  <c r="V76" i="33"/>
  <c r="U76" i="33"/>
  <c r="T76" i="33"/>
  <c r="S76" i="33"/>
  <c r="R76" i="33"/>
  <c r="Q76" i="33"/>
  <c r="P76" i="33"/>
  <c r="O76" i="33"/>
  <c r="N76" i="33"/>
  <c r="M76" i="33"/>
  <c r="L76" i="33"/>
  <c r="K76" i="33"/>
  <c r="J76" i="33"/>
  <c r="I76" i="33"/>
  <c r="H76" i="33"/>
  <c r="G76" i="33"/>
  <c r="F76" i="33"/>
  <c r="E76" i="33"/>
  <c r="D76" i="33"/>
  <c r="C76" i="33"/>
  <c r="B76" i="33"/>
  <c r="Z76" i="33" s="1"/>
  <c r="AB76" i="33" s="1"/>
  <c r="Y75" i="33"/>
  <c r="X75" i="33"/>
  <c r="W75" i="33"/>
  <c r="V75" i="33"/>
  <c r="U75" i="33"/>
  <c r="T75" i="33"/>
  <c r="S75" i="33"/>
  <c r="R75" i="33"/>
  <c r="Q75" i="33"/>
  <c r="P75" i="33"/>
  <c r="O75" i="33"/>
  <c r="N75" i="33"/>
  <c r="M75" i="33"/>
  <c r="L75" i="33"/>
  <c r="K75" i="33"/>
  <c r="J75" i="33"/>
  <c r="I75" i="33"/>
  <c r="H75" i="33"/>
  <c r="G75" i="33"/>
  <c r="F75" i="33"/>
  <c r="E75" i="33"/>
  <c r="D75" i="33"/>
  <c r="C75" i="33"/>
  <c r="B75" i="33"/>
  <c r="Z75" i="33" s="1"/>
  <c r="AB75" i="33" s="1"/>
  <c r="Y74" i="33"/>
  <c r="X74" i="33"/>
  <c r="W74" i="33"/>
  <c r="V74" i="33"/>
  <c r="U74" i="33"/>
  <c r="T74" i="33"/>
  <c r="S74" i="33"/>
  <c r="R74" i="33"/>
  <c r="Q74" i="33"/>
  <c r="P74" i="33"/>
  <c r="O74" i="33"/>
  <c r="N74" i="33"/>
  <c r="M74" i="33"/>
  <c r="L74" i="33"/>
  <c r="K74" i="33"/>
  <c r="J74" i="33"/>
  <c r="I74" i="33"/>
  <c r="H74" i="33"/>
  <c r="G74" i="33"/>
  <c r="F74" i="33"/>
  <c r="E74" i="33"/>
  <c r="D74" i="33"/>
  <c r="C74" i="33"/>
  <c r="B74" i="33"/>
  <c r="Z74" i="33" s="1"/>
  <c r="AB74" i="33" s="1"/>
  <c r="Y73" i="33"/>
  <c r="X73" i="33"/>
  <c r="W73" i="33"/>
  <c r="V73" i="33"/>
  <c r="U73" i="33"/>
  <c r="T73" i="33"/>
  <c r="S73" i="33"/>
  <c r="R73" i="33"/>
  <c r="Q73" i="33"/>
  <c r="P73" i="33"/>
  <c r="O73" i="33"/>
  <c r="N73" i="33"/>
  <c r="M73" i="33"/>
  <c r="L73" i="33"/>
  <c r="K73" i="33"/>
  <c r="J73" i="33"/>
  <c r="I73" i="33"/>
  <c r="H73" i="33"/>
  <c r="G73" i="33"/>
  <c r="F73" i="33"/>
  <c r="E73" i="33"/>
  <c r="D73" i="33"/>
  <c r="C73" i="33"/>
  <c r="B73" i="33"/>
  <c r="Z73" i="33" s="1"/>
  <c r="AB73" i="33" s="1"/>
  <c r="Y72" i="33"/>
  <c r="X72" i="33"/>
  <c r="W72" i="33"/>
  <c r="V72" i="33"/>
  <c r="U72" i="33"/>
  <c r="T72" i="33"/>
  <c r="S72" i="33"/>
  <c r="R72" i="33"/>
  <c r="Q72" i="33"/>
  <c r="P72" i="33"/>
  <c r="O72" i="33"/>
  <c r="N72" i="33"/>
  <c r="M72" i="33"/>
  <c r="L72" i="33"/>
  <c r="K72" i="33"/>
  <c r="J72" i="33"/>
  <c r="I72" i="33"/>
  <c r="H72" i="33"/>
  <c r="G72" i="33"/>
  <c r="F72" i="33"/>
  <c r="E72" i="33"/>
  <c r="D72" i="33"/>
  <c r="C72" i="33"/>
  <c r="B72" i="33"/>
  <c r="Z72" i="33" s="1"/>
  <c r="AB72" i="33" s="1"/>
  <c r="Y71" i="33"/>
  <c r="X71" i="33"/>
  <c r="W71" i="33"/>
  <c r="V71" i="33"/>
  <c r="U71" i="33"/>
  <c r="T71" i="33"/>
  <c r="S71" i="33"/>
  <c r="R71" i="33"/>
  <c r="Q71" i="33"/>
  <c r="P71" i="33"/>
  <c r="O71" i="33"/>
  <c r="N71" i="33"/>
  <c r="M71" i="33"/>
  <c r="L71" i="33"/>
  <c r="K71" i="33"/>
  <c r="J71" i="33"/>
  <c r="I71" i="33"/>
  <c r="H71" i="33"/>
  <c r="G71" i="33"/>
  <c r="F71" i="33"/>
  <c r="E71" i="33"/>
  <c r="D71" i="33"/>
  <c r="C71" i="33"/>
  <c r="B71" i="33"/>
  <c r="Z71" i="33" s="1"/>
  <c r="AB71" i="33" s="1"/>
  <c r="Y70" i="33"/>
  <c r="X70" i="33"/>
  <c r="W70" i="33"/>
  <c r="V70" i="33"/>
  <c r="U70" i="33"/>
  <c r="T70" i="33"/>
  <c r="S70" i="33"/>
  <c r="R70" i="33"/>
  <c r="Q70" i="33"/>
  <c r="P70" i="33"/>
  <c r="O70" i="33"/>
  <c r="N70" i="33"/>
  <c r="M70" i="33"/>
  <c r="L70" i="33"/>
  <c r="K70" i="33"/>
  <c r="J70" i="33"/>
  <c r="I70" i="33"/>
  <c r="H70" i="33"/>
  <c r="G70" i="33"/>
  <c r="F70" i="33"/>
  <c r="E70" i="33"/>
  <c r="D70" i="33"/>
  <c r="C70" i="33"/>
  <c r="B70" i="33"/>
  <c r="Z70" i="33" s="1"/>
  <c r="AB70" i="33" s="1"/>
  <c r="Y69" i="33"/>
  <c r="X69" i="33"/>
  <c r="W69" i="33"/>
  <c r="V69" i="33"/>
  <c r="U69" i="33"/>
  <c r="T69" i="33"/>
  <c r="S69" i="33"/>
  <c r="R69" i="33"/>
  <c r="Q69" i="33"/>
  <c r="P69" i="33"/>
  <c r="O69" i="33"/>
  <c r="N69" i="33"/>
  <c r="M69" i="33"/>
  <c r="L69" i="33"/>
  <c r="K69" i="33"/>
  <c r="J69" i="33"/>
  <c r="I69" i="33"/>
  <c r="H69" i="33"/>
  <c r="G69" i="33"/>
  <c r="F69" i="33"/>
  <c r="E69" i="33"/>
  <c r="D69" i="33"/>
  <c r="C69" i="33"/>
  <c r="B69" i="33"/>
  <c r="Z69" i="33" s="1"/>
  <c r="AB69" i="33" s="1"/>
  <c r="Y68" i="33"/>
  <c r="X68" i="33"/>
  <c r="W68" i="33"/>
  <c r="V68" i="33"/>
  <c r="U68" i="33"/>
  <c r="T68" i="33"/>
  <c r="S68" i="33"/>
  <c r="R68" i="33"/>
  <c r="Q68" i="33"/>
  <c r="P68" i="33"/>
  <c r="O68" i="33"/>
  <c r="N68" i="33"/>
  <c r="M68" i="33"/>
  <c r="L68" i="33"/>
  <c r="K68" i="33"/>
  <c r="J68" i="33"/>
  <c r="I68" i="33"/>
  <c r="H68" i="33"/>
  <c r="G68" i="33"/>
  <c r="F68" i="33"/>
  <c r="E68" i="33"/>
  <c r="D68" i="33"/>
  <c r="C68" i="33"/>
  <c r="B68" i="33"/>
  <c r="Z68" i="33" s="1"/>
  <c r="AB68" i="33" s="1"/>
  <c r="Y67" i="33"/>
  <c r="X67" i="33"/>
  <c r="W67" i="33"/>
  <c r="V67" i="33"/>
  <c r="U67" i="33"/>
  <c r="T67" i="33"/>
  <c r="S67" i="33"/>
  <c r="R67" i="33"/>
  <c r="Q67" i="33"/>
  <c r="P67" i="33"/>
  <c r="O67" i="33"/>
  <c r="N67" i="33"/>
  <c r="M67" i="33"/>
  <c r="L67" i="33"/>
  <c r="K67" i="33"/>
  <c r="J67" i="33"/>
  <c r="I67" i="33"/>
  <c r="H67" i="33"/>
  <c r="G67" i="33"/>
  <c r="F67" i="33"/>
  <c r="E67" i="33"/>
  <c r="D67" i="33"/>
  <c r="C67" i="33"/>
  <c r="B67" i="33"/>
  <c r="Z67" i="33" s="1"/>
  <c r="AB67" i="33" s="1"/>
  <c r="Y66" i="33"/>
  <c r="X66" i="33"/>
  <c r="W66" i="33"/>
  <c r="V66" i="33"/>
  <c r="U66" i="33"/>
  <c r="T66" i="33"/>
  <c r="S66" i="33"/>
  <c r="R66" i="33"/>
  <c r="Q66" i="33"/>
  <c r="P66" i="33"/>
  <c r="O66" i="33"/>
  <c r="N66" i="33"/>
  <c r="M66" i="33"/>
  <c r="L66" i="33"/>
  <c r="K66" i="33"/>
  <c r="J66" i="33"/>
  <c r="I66" i="33"/>
  <c r="H66" i="33"/>
  <c r="G66" i="33"/>
  <c r="F66" i="33"/>
  <c r="E66" i="33"/>
  <c r="D66" i="33"/>
  <c r="C66" i="33"/>
  <c r="B66" i="33"/>
  <c r="Z66" i="33" s="1"/>
  <c r="AB66" i="33" s="1"/>
  <c r="Y65" i="33"/>
  <c r="X65" i="33"/>
  <c r="W65" i="33"/>
  <c r="V65" i="33"/>
  <c r="U65" i="33"/>
  <c r="T65" i="33"/>
  <c r="S65" i="33"/>
  <c r="R65" i="33"/>
  <c r="Q65" i="33"/>
  <c r="P65" i="33"/>
  <c r="O65" i="33"/>
  <c r="N65" i="33"/>
  <c r="M65" i="33"/>
  <c r="L65" i="33"/>
  <c r="K65" i="33"/>
  <c r="J65" i="33"/>
  <c r="I65" i="33"/>
  <c r="H65" i="33"/>
  <c r="G65" i="33"/>
  <c r="F65" i="33"/>
  <c r="E65" i="33"/>
  <c r="D65" i="33"/>
  <c r="C65" i="33"/>
  <c r="B65" i="33"/>
  <c r="Z65" i="33" s="1"/>
  <c r="AB65" i="33" s="1"/>
  <c r="Y64" i="33"/>
  <c r="X64" i="33"/>
  <c r="W64" i="33"/>
  <c r="V64" i="33"/>
  <c r="U64" i="33"/>
  <c r="T64" i="33"/>
  <c r="S64" i="33"/>
  <c r="R64" i="33"/>
  <c r="Q64" i="33"/>
  <c r="P64" i="33"/>
  <c r="O64" i="33"/>
  <c r="N64" i="33"/>
  <c r="M64" i="33"/>
  <c r="L64" i="33"/>
  <c r="K64" i="33"/>
  <c r="J64" i="33"/>
  <c r="I64" i="33"/>
  <c r="H64" i="33"/>
  <c r="G64" i="33"/>
  <c r="F64" i="33"/>
  <c r="E64" i="33"/>
  <c r="D64" i="33"/>
  <c r="C64" i="33"/>
  <c r="B64" i="33"/>
  <c r="Z64" i="33" s="1"/>
  <c r="AB64" i="33" s="1"/>
  <c r="Y63" i="33"/>
  <c r="X63" i="33"/>
  <c r="W63" i="33"/>
  <c r="V63" i="33"/>
  <c r="U63" i="33"/>
  <c r="T63" i="33"/>
  <c r="S63" i="33"/>
  <c r="R63" i="33"/>
  <c r="Q63" i="33"/>
  <c r="P63" i="33"/>
  <c r="O63" i="33"/>
  <c r="N63" i="33"/>
  <c r="M63" i="33"/>
  <c r="L63" i="33"/>
  <c r="K63" i="33"/>
  <c r="J63" i="33"/>
  <c r="I63" i="33"/>
  <c r="H63" i="33"/>
  <c r="G63" i="33"/>
  <c r="F63" i="33"/>
  <c r="E63" i="33"/>
  <c r="D63" i="33"/>
  <c r="C63" i="33"/>
  <c r="B63" i="33"/>
  <c r="Z63" i="33" s="1"/>
  <c r="AB63" i="33" s="1"/>
  <c r="Y62" i="33"/>
  <c r="X62" i="33"/>
  <c r="W62" i="33"/>
  <c r="V62" i="33"/>
  <c r="U62" i="33"/>
  <c r="T62" i="33"/>
  <c r="S62" i="33"/>
  <c r="R62" i="33"/>
  <c r="Q62" i="33"/>
  <c r="P62" i="33"/>
  <c r="O62" i="33"/>
  <c r="N62" i="33"/>
  <c r="M62" i="33"/>
  <c r="L62" i="33"/>
  <c r="K62" i="33"/>
  <c r="J62" i="33"/>
  <c r="I62" i="33"/>
  <c r="H62" i="33"/>
  <c r="G62" i="33"/>
  <c r="F62" i="33"/>
  <c r="E62" i="33"/>
  <c r="D62" i="33"/>
  <c r="C62" i="33"/>
  <c r="B62" i="33"/>
  <c r="Z62" i="33" s="1"/>
  <c r="AB62" i="33" s="1"/>
  <c r="Y61" i="33"/>
  <c r="X61" i="33"/>
  <c r="W61" i="33"/>
  <c r="V61" i="33"/>
  <c r="U61" i="33"/>
  <c r="T61" i="33"/>
  <c r="S61" i="33"/>
  <c r="R61" i="33"/>
  <c r="Q61" i="33"/>
  <c r="P61" i="33"/>
  <c r="O61" i="33"/>
  <c r="N61" i="33"/>
  <c r="M61" i="33"/>
  <c r="L61" i="33"/>
  <c r="K61" i="33"/>
  <c r="J61" i="33"/>
  <c r="I61" i="33"/>
  <c r="H61" i="33"/>
  <c r="G61" i="33"/>
  <c r="F61" i="33"/>
  <c r="E61" i="33"/>
  <c r="D61" i="33"/>
  <c r="C61" i="33"/>
  <c r="B61" i="33"/>
  <c r="Z61" i="33" s="1"/>
  <c r="AB61" i="33" s="1"/>
  <c r="Y60" i="33"/>
  <c r="X60" i="33"/>
  <c r="W60" i="33"/>
  <c r="V60" i="33"/>
  <c r="U60" i="33"/>
  <c r="T60" i="33"/>
  <c r="S60" i="33"/>
  <c r="R60" i="33"/>
  <c r="Q60" i="33"/>
  <c r="P60" i="33"/>
  <c r="O60" i="33"/>
  <c r="N60" i="33"/>
  <c r="M60" i="33"/>
  <c r="L60" i="33"/>
  <c r="K60" i="33"/>
  <c r="J60" i="33"/>
  <c r="I60" i="33"/>
  <c r="H60" i="33"/>
  <c r="G60" i="33"/>
  <c r="F60" i="33"/>
  <c r="E60" i="33"/>
  <c r="D60" i="33"/>
  <c r="C60" i="33"/>
  <c r="B60" i="33"/>
  <c r="Z60" i="33" s="1"/>
  <c r="AB60" i="33" s="1"/>
  <c r="AB60" i="30"/>
  <c r="AB61" i="30"/>
  <c r="AB62" i="30"/>
  <c r="AB63" i="30"/>
  <c r="AB64" i="30"/>
  <c r="AB65" i="30"/>
  <c r="AB66" i="30"/>
  <c r="AB67" i="30"/>
  <c r="AB68" i="30"/>
  <c r="AB69" i="30"/>
  <c r="AB70" i="30"/>
  <c r="AB71" i="30"/>
  <c r="AB72" i="30"/>
  <c r="AB73" i="30"/>
  <c r="AB74" i="30"/>
  <c r="AB75" i="30"/>
  <c r="AB76" i="30"/>
  <c r="AB77" i="30"/>
  <c r="AB78" i="30"/>
  <c r="AB79" i="30"/>
  <c r="AB80" i="30"/>
  <c r="AB81" i="30"/>
  <c r="C61" i="30"/>
  <c r="D61" i="30"/>
  <c r="E61" i="30"/>
  <c r="F61" i="30"/>
  <c r="G61" i="30"/>
  <c r="H61" i="30"/>
  <c r="I61" i="30"/>
  <c r="J61" i="30"/>
  <c r="K61" i="30"/>
  <c r="L61" i="30"/>
  <c r="M61" i="30"/>
  <c r="N61" i="30"/>
  <c r="O61" i="30"/>
  <c r="P61" i="30"/>
  <c r="Q61" i="30"/>
  <c r="R61" i="30"/>
  <c r="S61" i="30"/>
  <c r="T61" i="30"/>
  <c r="U61" i="30"/>
  <c r="V61" i="30"/>
  <c r="W61" i="30"/>
  <c r="X61" i="30"/>
  <c r="Y61" i="30"/>
  <c r="C62" i="30"/>
  <c r="D62" i="30"/>
  <c r="E62" i="30"/>
  <c r="F62" i="30"/>
  <c r="G62" i="30"/>
  <c r="H62" i="30"/>
  <c r="I62" i="30"/>
  <c r="J62" i="30"/>
  <c r="K62" i="30"/>
  <c r="L62" i="30"/>
  <c r="M62" i="30"/>
  <c r="N62" i="30"/>
  <c r="O62" i="30"/>
  <c r="P62" i="30"/>
  <c r="Q62" i="30"/>
  <c r="R62" i="30"/>
  <c r="S62" i="30"/>
  <c r="T62" i="30"/>
  <c r="U62" i="30"/>
  <c r="V62" i="30"/>
  <c r="W62" i="30"/>
  <c r="X62" i="30"/>
  <c r="Y62" i="30"/>
  <c r="C63" i="30"/>
  <c r="D63" i="30"/>
  <c r="E63" i="30"/>
  <c r="F63" i="30"/>
  <c r="G63" i="30"/>
  <c r="H63" i="30"/>
  <c r="I63" i="30"/>
  <c r="J63" i="30"/>
  <c r="K63" i="30"/>
  <c r="L63" i="30"/>
  <c r="M63" i="30"/>
  <c r="N63" i="30"/>
  <c r="O63" i="30"/>
  <c r="P63" i="30"/>
  <c r="Q63" i="30"/>
  <c r="R63" i="30"/>
  <c r="S63" i="30"/>
  <c r="T63" i="30"/>
  <c r="U63" i="30"/>
  <c r="V63" i="30"/>
  <c r="W63" i="30"/>
  <c r="X63" i="30"/>
  <c r="Y63" i="30"/>
  <c r="C64" i="30"/>
  <c r="D64" i="30"/>
  <c r="E64" i="30"/>
  <c r="F64" i="30"/>
  <c r="G64" i="30"/>
  <c r="H64" i="30"/>
  <c r="I64" i="30"/>
  <c r="J64" i="30"/>
  <c r="K64" i="30"/>
  <c r="L64" i="30"/>
  <c r="M64" i="30"/>
  <c r="N64" i="30"/>
  <c r="O64" i="30"/>
  <c r="P64" i="30"/>
  <c r="Q64" i="30"/>
  <c r="R64" i="30"/>
  <c r="S64" i="30"/>
  <c r="T64" i="30"/>
  <c r="U64" i="30"/>
  <c r="V64" i="30"/>
  <c r="W64" i="30"/>
  <c r="X64" i="30"/>
  <c r="Y64" i="30"/>
  <c r="C65" i="30"/>
  <c r="D65" i="30"/>
  <c r="E65" i="30"/>
  <c r="F65" i="30"/>
  <c r="G65" i="30"/>
  <c r="H65" i="30"/>
  <c r="I65" i="30"/>
  <c r="J65" i="30"/>
  <c r="K65" i="30"/>
  <c r="L65" i="30"/>
  <c r="M65" i="30"/>
  <c r="N65" i="30"/>
  <c r="O65" i="30"/>
  <c r="P65" i="30"/>
  <c r="Q65" i="30"/>
  <c r="R65" i="30"/>
  <c r="S65" i="30"/>
  <c r="T65" i="30"/>
  <c r="U65" i="30"/>
  <c r="V65" i="30"/>
  <c r="W65" i="30"/>
  <c r="X65" i="30"/>
  <c r="Y65" i="30"/>
  <c r="C66" i="30"/>
  <c r="D66" i="30"/>
  <c r="E66" i="30"/>
  <c r="F66" i="30"/>
  <c r="G66" i="30"/>
  <c r="H66" i="30"/>
  <c r="I66" i="30"/>
  <c r="J66" i="30"/>
  <c r="K66" i="30"/>
  <c r="L66" i="30"/>
  <c r="M66" i="30"/>
  <c r="N66" i="30"/>
  <c r="O66" i="30"/>
  <c r="P66" i="30"/>
  <c r="Q66" i="30"/>
  <c r="R66" i="30"/>
  <c r="S66" i="30"/>
  <c r="T66" i="30"/>
  <c r="U66" i="30"/>
  <c r="V66" i="30"/>
  <c r="W66" i="30"/>
  <c r="X66" i="30"/>
  <c r="Y66" i="30"/>
  <c r="C67" i="30"/>
  <c r="D67" i="30"/>
  <c r="E67" i="30"/>
  <c r="F67" i="30"/>
  <c r="G67" i="30"/>
  <c r="H67" i="30"/>
  <c r="I67" i="30"/>
  <c r="J67" i="30"/>
  <c r="K67" i="30"/>
  <c r="L67" i="30"/>
  <c r="M67" i="30"/>
  <c r="N67" i="30"/>
  <c r="O67" i="30"/>
  <c r="P67" i="30"/>
  <c r="Q67" i="30"/>
  <c r="R67" i="30"/>
  <c r="S67" i="30"/>
  <c r="T67" i="30"/>
  <c r="U67" i="30"/>
  <c r="V67" i="30"/>
  <c r="W67" i="30"/>
  <c r="X67" i="30"/>
  <c r="Y67" i="30"/>
  <c r="C68" i="30"/>
  <c r="D68" i="30"/>
  <c r="E68" i="30"/>
  <c r="F68" i="30"/>
  <c r="G68" i="30"/>
  <c r="H68" i="30"/>
  <c r="I68" i="30"/>
  <c r="J68" i="30"/>
  <c r="K68" i="30"/>
  <c r="L68" i="30"/>
  <c r="M68" i="30"/>
  <c r="N68" i="30"/>
  <c r="O68" i="30"/>
  <c r="P68" i="30"/>
  <c r="Q68" i="30"/>
  <c r="R68" i="30"/>
  <c r="S68" i="30"/>
  <c r="T68" i="30"/>
  <c r="U68" i="30"/>
  <c r="V68" i="30"/>
  <c r="W68" i="30"/>
  <c r="X68" i="30"/>
  <c r="Y68" i="30"/>
  <c r="C69" i="30"/>
  <c r="D69" i="30"/>
  <c r="E69" i="30"/>
  <c r="F69" i="30"/>
  <c r="G69" i="30"/>
  <c r="H69" i="30"/>
  <c r="I69" i="30"/>
  <c r="J69" i="30"/>
  <c r="K69" i="30"/>
  <c r="L69" i="30"/>
  <c r="M69" i="30"/>
  <c r="N69" i="30"/>
  <c r="O69" i="30"/>
  <c r="P69" i="30"/>
  <c r="Q69" i="30"/>
  <c r="R69" i="30"/>
  <c r="S69" i="30"/>
  <c r="T69" i="30"/>
  <c r="U69" i="30"/>
  <c r="V69" i="30"/>
  <c r="W69" i="30"/>
  <c r="X69" i="30"/>
  <c r="Y69" i="30"/>
  <c r="C70" i="30"/>
  <c r="D70" i="30"/>
  <c r="E70" i="30"/>
  <c r="F70" i="30"/>
  <c r="G70" i="30"/>
  <c r="H70" i="30"/>
  <c r="I70" i="30"/>
  <c r="J70" i="30"/>
  <c r="K70" i="30"/>
  <c r="L70" i="30"/>
  <c r="M70" i="30"/>
  <c r="N70" i="30"/>
  <c r="O70" i="30"/>
  <c r="P70" i="30"/>
  <c r="Q70" i="30"/>
  <c r="R70" i="30"/>
  <c r="S70" i="30"/>
  <c r="T70" i="30"/>
  <c r="U70" i="30"/>
  <c r="V70" i="30"/>
  <c r="W70" i="30"/>
  <c r="X70" i="30"/>
  <c r="Y70" i="30"/>
  <c r="C71" i="30"/>
  <c r="D71" i="30"/>
  <c r="E71" i="30"/>
  <c r="F71" i="30"/>
  <c r="G71" i="30"/>
  <c r="H71" i="30"/>
  <c r="I71" i="30"/>
  <c r="J71" i="30"/>
  <c r="K71" i="30"/>
  <c r="L71" i="30"/>
  <c r="M71" i="30"/>
  <c r="N71" i="30"/>
  <c r="O71" i="30"/>
  <c r="P71" i="30"/>
  <c r="Q71" i="30"/>
  <c r="R71" i="30"/>
  <c r="S71" i="30"/>
  <c r="T71" i="30"/>
  <c r="U71" i="30"/>
  <c r="V71" i="30"/>
  <c r="W71" i="30"/>
  <c r="X71" i="30"/>
  <c r="Y71" i="30"/>
  <c r="C72" i="30"/>
  <c r="D72" i="30"/>
  <c r="E72" i="30"/>
  <c r="F72" i="30"/>
  <c r="G72" i="30"/>
  <c r="H72" i="30"/>
  <c r="I72" i="30"/>
  <c r="J72" i="30"/>
  <c r="K72" i="30"/>
  <c r="L72" i="30"/>
  <c r="M72" i="30"/>
  <c r="N72" i="30"/>
  <c r="O72" i="30"/>
  <c r="P72" i="30"/>
  <c r="Q72" i="30"/>
  <c r="R72" i="30"/>
  <c r="S72" i="30"/>
  <c r="T72" i="30"/>
  <c r="U72" i="30"/>
  <c r="V72" i="30"/>
  <c r="W72" i="30"/>
  <c r="X72" i="30"/>
  <c r="Y72" i="30"/>
  <c r="C73" i="30"/>
  <c r="D73" i="30"/>
  <c r="E73" i="30"/>
  <c r="F73" i="30"/>
  <c r="G73" i="30"/>
  <c r="H73" i="30"/>
  <c r="I73" i="30"/>
  <c r="J73" i="30"/>
  <c r="K73" i="30"/>
  <c r="L73" i="30"/>
  <c r="M73" i="30"/>
  <c r="N73" i="30"/>
  <c r="O73" i="30"/>
  <c r="P73" i="30"/>
  <c r="Q73" i="30"/>
  <c r="R73" i="30"/>
  <c r="S73" i="30"/>
  <c r="T73" i="30"/>
  <c r="U73" i="30"/>
  <c r="V73" i="30"/>
  <c r="W73" i="30"/>
  <c r="X73" i="30"/>
  <c r="Y73" i="30"/>
  <c r="C74" i="30"/>
  <c r="D74" i="30"/>
  <c r="E74" i="30"/>
  <c r="F74" i="30"/>
  <c r="G74" i="30"/>
  <c r="H74" i="30"/>
  <c r="I74" i="30"/>
  <c r="J74" i="30"/>
  <c r="K74" i="30"/>
  <c r="L74" i="30"/>
  <c r="M74" i="30"/>
  <c r="N74" i="30"/>
  <c r="O74" i="30"/>
  <c r="P74" i="30"/>
  <c r="Q74" i="30"/>
  <c r="R74" i="30"/>
  <c r="S74" i="30"/>
  <c r="T74" i="30"/>
  <c r="U74" i="30"/>
  <c r="V74" i="30"/>
  <c r="W74" i="30"/>
  <c r="X74" i="30"/>
  <c r="Y74" i="30"/>
  <c r="C75" i="30"/>
  <c r="D75" i="30"/>
  <c r="E75" i="30"/>
  <c r="F75" i="30"/>
  <c r="G75" i="30"/>
  <c r="H75" i="30"/>
  <c r="I75" i="30"/>
  <c r="J75" i="30"/>
  <c r="K75" i="30"/>
  <c r="L75" i="30"/>
  <c r="M75" i="30"/>
  <c r="N75" i="30"/>
  <c r="O75" i="30"/>
  <c r="P75" i="30"/>
  <c r="Q75" i="30"/>
  <c r="R75" i="30"/>
  <c r="S75" i="30"/>
  <c r="T75" i="30"/>
  <c r="U75" i="30"/>
  <c r="V75" i="30"/>
  <c r="W75" i="30"/>
  <c r="X75" i="30"/>
  <c r="Y75" i="30"/>
  <c r="C76" i="30"/>
  <c r="D76" i="30"/>
  <c r="E76" i="30"/>
  <c r="F76" i="30"/>
  <c r="G76" i="30"/>
  <c r="H76" i="30"/>
  <c r="I76" i="30"/>
  <c r="J76" i="30"/>
  <c r="K76" i="30"/>
  <c r="L76" i="30"/>
  <c r="M76" i="30"/>
  <c r="N76" i="30"/>
  <c r="O76" i="30"/>
  <c r="P76" i="30"/>
  <c r="Q76" i="30"/>
  <c r="R76" i="30"/>
  <c r="S76" i="30"/>
  <c r="T76" i="30"/>
  <c r="U76" i="30"/>
  <c r="V76" i="30"/>
  <c r="W76" i="30"/>
  <c r="X76" i="30"/>
  <c r="Y76" i="30"/>
  <c r="C77" i="30"/>
  <c r="D77" i="30"/>
  <c r="E77" i="30"/>
  <c r="F77" i="30"/>
  <c r="G77" i="30"/>
  <c r="H77" i="30"/>
  <c r="I77" i="30"/>
  <c r="J77" i="30"/>
  <c r="K77" i="30"/>
  <c r="L77" i="30"/>
  <c r="M77" i="30"/>
  <c r="N77" i="30"/>
  <c r="O77" i="30"/>
  <c r="P77" i="30"/>
  <c r="Q77" i="30"/>
  <c r="R77" i="30"/>
  <c r="S77" i="30"/>
  <c r="T77" i="30"/>
  <c r="U77" i="30"/>
  <c r="V77" i="30"/>
  <c r="W77" i="30"/>
  <c r="X77" i="30"/>
  <c r="Y77" i="30"/>
  <c r="C78" i="30"/>
  <c r="D78" i="30"/>
  <c r="E78" i="30"/>
  <c r="F78" i="30"/>
  <c r="G78" i="30"/>
  <c r="H78" i="30"/>
  <c r="I78" i="30"/>
  <c r="J78" i="30"/>
  <c r="K78" i="30"/>
  <c r="L78" i="30"/>
  <c r="M78" i="30"/>
  <c r="N78" i="30"/>
  <c r="O78" i="30"/>
  <c r="P78" i="30"/>
  <c r="Q78" i="30"/>
  <c r="R78" i="30"/>
  <c r="S78" i="30"/>
  <c r="T78" i="30"/>
  <c r="U78" i="30"/>
  <c r="V78" i="30"/>
  <c r="W78" i="30"/>
  <c r="X78" i="30"/>
  <c r="Y78" i="30"/>
  <c r="C79" i="30"/>
  <c r="D79" i="30"/>
  <c r="E79" i="30"/>
  <c r="F79" i="30"/>
  <c r="G79" i="30"/>
  <c r="H79" i="30"/>
  <c r="I79" i="30"/>
  <c r="J79" i="30"/>
  <c r="K79" i="30"/>
  <c r="L79" i="30"/>
  <c r="M79" i="30"/>
  <c r="N79" i="30"/>
  <c r="O79" i="30"/>
  <c r="P79" i="30"/>
  <c r="Q79" i="30"/>
  <c r="R79" i="30"/>
  <c r="S79" i="30"/>
  <c r="T79" i="30"/>
  <c r="U79" i="30"/>
  <c r="V79" i="30"/>
  <c r="W79" i="30"/>
  <c r="X79" i="30"/>
  <c r="Y79" i="30"/>
  <c r="C80" i="30"/>
  <c r="D80" i="30"/>
  <c r="E80" i="30"/>
  <c r="F80" i="30"/>
  <c r="G80" i="30"/>
  <c r="H80" i="30"/>
  <c r="I80" i="30"/>
  <c r="J80" i="30"/>
  <c r="K80" i="30"/>
  <c r="L80" i="30"/>
  <c r="M80" i="30"/>
  <c r="N80" i="30"/>
  <c r="O80" i="30"/>
  <c r="P80" i="30"/>
  <c r="Q80" i="30"/>
  <c r="R80" i="30"/>
  <c r="S80" i="30"/>
  <c r="T80" i="30"/>
  <c r="U80" i="30"/>
  <c r="V80" i="30"/>
  <c r="W80" i="30"/>
  <c r="X80" i="30"/>
  <c r="Y80" i="30"/>
  <c r="C81" i="30"/>
  <c r="D81" i="30"/>
  <c r="E81" i="30"/>
  <c r="F81" i="30"/>
  <c r="G81" i="30"/>
  <c r="H81" i="30"/>
  <c r="I81" i="30"/>
  <c r="J81" i="30"/>
  <c r="K81" i="30"/>
  <c r="L81" i="30"/>
  <c r="M81" i="30"/>
  <c r="N81" i="30"/>
  <c r="O81" i="30"/>
  <c r="P81" i="30"/>
  <c r="Q81" i="30"/>
  <c r="R81" i="30"/>
  <c r="S81" i="30"/>
  <c r="T81" i="30"/>
  <c r="U81" i="30"/>
  <c r="V81" i="30"/>
  <c r="W81" i="30"/>
  <c r="X81" i="30"/>
  <c r="Y81" i="30"/>
  <c r="B61" i="30"/>
  <c r="B62" i="30"/>
  <c r="B63" i="30"/>
  <c r="B64" i="30"/>
  <c r="B65" i="30"/>
  <c r="B66" i="30"/>
  <c r="B67" i="30"/>
  <c r="B68" i="30"/>
  <c r="B69" i="30"/>
  <c r="B70" i="30"/>
  <c r="B71" i="30"/>
  <c r="B72" i="30"/>
  <c r="B73" i="30"/>
  <c r="B74" i="30"/>
  <c r="B75" i="30"/>
  <c r="B76" i="30"/>
  <c r="B77" i="30"/>
  <c r="B78" i="30"/>
  <c r="B79" i="30"/>
  <c r="B80" i="30"/>
  <c r="B81" i="30"/>
  <c r="B60" i="30"/>
  <c r="Y60" i="30"/>
  <c r="X60" i="30"/>
  <c r="W60" i="30"/>
  <c r="V60" i="30"/>
  <c r="U60" i="30"/>
  <c r="T60" i="30"/>
  <c r="S60" i="30"/>
  <c r="R60" i="30"/>
  <c r="Q60" i="30"/>
  <c r="P60" i="30"/>
  <c r="O60" i="30"/>
  <c r="N60" i="30"/>
  <c r="M60" i="30"/>
  <c r="L60" i="30"/>
  <c r="K60" i="30"/>
  <c r="J60" i="30"/>
  <c r="I60" i="30"/>
  <c r="H60" i="30"/>
  <c r="G60" i="30"/>
  <c r="F60" i="30"/>
  <c r="E60" i="30"/>
  <c r="D60" i="30"/>
  <c r="C60" i="30"/>
  <c r="B53" i="30"/>
  <c r="B52" i="30"/>
  <c r="C51" i="30"/>
  <c r="B51" i="30"/>
  <c r="Z68" i="30" l="1"/>
  <c r="Z67" i="30"/>
  <c r="Z63" i="30"/>
  <c r="Z70" i="30"/>
  <c r="Z62" i="30"/>
  <c r="Z69" i="30"/>
  <c r="Z61" i="30"/>
  <c r="Z75" i="30"/>
  <c r="Z78" i="30"/>
  <c r="Z65" i="30"/>
  <c r="Z64" i="30"/>
  <c r="Z73" i="30"/>
  <c r="Z71" i="30"/>
  <c r="Z74" i="30"/>
  <c r="Z66" i="30"/>
  <c r="Z76" i="30"/>
  <c r="Z60" i="30"/>
  <c r="Z81" i="30"/>
  <c r="Z79" i="30"/>
  <c r="Z80" i="30"/>
  <c r="Z72" i="30"/>
  <c r="Z77" i="30"/>
</calcChain>
</file>

<file path=xl/sharedStrings.xml><?xml version="1.0" encoding="utf-8"?>
<sst xmlns="http://schemas.openxmlformats.org/spreadsheetml/2006/main" count="3154" uniqueCount="184">
  <si>
    <t>!function(){try{var d=document.documentElement,c=d.classList;c.remove('light','dark');var e=localStorage.getItem('theme');if('system'===e||(!e&amp;&amp;false)){var t='(prefers-color-scheme: dark)',m=window.matchMedia(t);if(m.media!==t||m.matches){d.style.colorScheme = 'dark';c.add('dark')}else{d.style.colorScheme = 'light';c.add('light')}}else if(e){c.add(e|| '')}else{c.add('dark')}if(e==='light'||e==='dark'||!e)d.style.colorScheme=e||'dark'}catch(e){}}()</t>
  </si>
  <si>
    <t>F1 Fantasy Tools</t>
  </si>
  <si>
    <t>Team Calculator</t>
  </si>
  <si>
    <t>Budget Builder</t>
  </si>
  <si>
    <t>Live Scoring</t>
  </si>
  <si>
    <t>Season Summary</t>
  </si>
  <si>
    <t>Elite Data</t>
  </si>
  <si>
    <t>Statistics</t>
  </si>
  <si>
    <t>Team Analyzer</t>
  </si>
  <si>
    <t>League Analyzer</t>
  </si>
  <si>
    <t>Hindsight</t>
  </si>
  <si>
    <t>More</t>
  </si>
  <si>
    <t>Subscribe to get access to premium tools and features!</t>
  </si>
  <si>
    <t>Explore our Plans</t>
  </si>
  <si>
    <t>Subscribe</t>
  </si>
  <si>
    <t>Log in/Sign up</t>
  </si>
  <si>
    <t>Log in</t>
  </si>
  <si>
    <t>Dark theme</t>
  </si>
  <si>
    <t>Toggle theme</t>
  </si>
  <si>
    <t>Info</t>
  </si>
  <si>
    <t>Dive into the F1 (Fantasy) data for every race, driver and constructor.</t>
  </si>
  <si>
    <t>Show specific data types like Fastest Lap, Overtakes, DNF and much more - or filter through all possible Fantasy Points combinations. All of this in big interactive, easy to use, color-coded tables.</t>
  </si>
  <si>
    <t>2025Fantasy Points</t>
  </si>
  <si>
    <t>T1</t>
  </si>
  <si>
    <t>T2</t>
  </si>
  <si>
    <t>T3</t>
  </si>
  <si>
    <t>Fantasy Points Types</t>
  </si>
  <si>
    <t>20 / 20</t>
  </si>
  <si>
    <t>Find a driver...(e.g. VER+NOR)</t>
  </si>
  <si>
    <t>Races</t>
  </si>
  <si>
    <t>DR</t>
  </si>
  <si>
    <t>R1</t>
  </si>
  <si>
    <t>R2</t>
  </si>
  <si>
    <t>R3</t>
  </si>
  <si>
    <t>R4</t>
  </si>
  <si>
    <t>R5</t>
  </si>
  <si>
    <t>R6</t>
  </si>
  <si>
    <t>R7</t>
  </si>
  <si>
    <t>R8</t>
  </si>
  <si>
    <t>R9</t>
  </si>
  <si>
    <t>R10</t>
  </si>
  <si>
    <t>R11</t>
  </si>
  <si>
    <t>R12</t>
  </si>
  <si>
    <t>R13</t>
  </si>
  <si>
    <t>R14</t>
  </si>
  <si>
    <t>R15</t>
  </si>
  <si>
    <t>R16</t>
  </si>
  <si>
    <t>R17</t>
  </si>
  <si>
    <t>R18</t>
  </si>
  <si>
    <t>R19</t>
  </si>
  <si>
    <t>R20</t>
  </si>
  <si>
    <t>R21</t>
  </si>
  <si>
    <t>R22</t>
  </si>
  <si>
    <t>R23</t>
  </si>
  <si>
    <t>R24</t>
  </si>
  <si>
    <t>AVG</t>
  </si>
  <si>
    <t>VER</t>
  </si>
  <si>
    <t>NOR</t>
  </si>
  <si>
    <t>PIA</t>
  </si>
  <si>
    <t>RUS</t>
  </si>
  <si>
    <t>LEC</t>
  </si>
  <si>
    <t>HAM</t>
  </si>
  <si>
    <t>ANT</t>
  </si>
  <si>
    <t>BEA</t>
  </si>
  <si>
    <t>ALB</t>
  </si>
  <si>
    <t>TSU</t>
  </si>
  <si>
    <t>OCO</t>
  </si>
  <si>
    <t>HUL</t>
  </si>
  <si>
    <t>STR</t>
  </si>
  <si>
    <t>SAI</t>
  </si>
  <si>
    <t>HAD</t>
  </si>
  <si>
    <t>LAW</t>
  </si>
  <si>
    <t>GAS</t>
  </si>
  <si>
    <t>ALO</t>
  </si>
  <si>
    <t>BOR</t>
  </si>
  <si>
    <t>COL</t>
  </si>
  <si>
    <t>DOO</t>
  </si>
  <si>
    <t>Find a constructor...(e.g. RED+MCL)</t>
  </si>
  <si>
    <t>CR</t>
  </si>
  <si>
    <t>MCL</t>
  </si>
  <si>
    <t>RED</t>
  </si>
  <si>
    <t>MER</t>
  </si>
  <si>
    <t>FER</t>
  </si>
  <si>
    <t>WIL</t>
  </si>
  <si>
    <t>HAA</t>
  </si>
  <si>
    <t>VRB</t>
  </si>
  <si>
    <t>AST</t>
  </si>
  <si>
    <t>KCK</t>
  </si>
  <si>
    <t>ALP</t>
  </si>
  <si>
    <t>Join the community</t>
  </si>
  <si>
    <t>Free Tools</t>
  </si>
  <si>
    <t>Team CalculatorBudget BuilderLive ScoringElite DataStatisticsHindsight</t>
  </si>
  <si>
    <t>Premium Tools</t>
  </si>
  <si>
    <t>Season SummaryTeam AnalyzerLeague Analyzer</t>
  </si>
  <si>
    <t>General</t>
  </si>
  <si>
    <t>PricingContact &amp; AboutGive feedback</t>
  </si>
  <si>
    <t>F1 Fantasy Tools © 2026 - Disclaimer - Legal documents</t>
  </si>
  <si>
    <t>requestAnimationFrame(function(){$RT=performance.now()});(self.__next_f=self.__next_f||[]).push([0])self.__next_f.push([1,"1:\"$Sreact.fragment\"\n3:I[339756,[\"/_next/static/chunks/dd4dd01088920e08.js\",\"/_next/static/chunks/ec5ba5291790a938.js\"],\"default\"]\n4:I[837457,[\"/_next/static/chunks/dd4dd01088920e08.js\",\"/_next/static/chunks/ec5ba5291790a938.js\"],\"default\"]\n6:I[897367,[\"/_next/static/chunks/dd4dd01088920e08.js\",\"/_next/static/chunks/ec5ba5291790a938.js\"],\"OutletBoundary\"]\n7:\"$Sreact.suspense\"\n9:I[402007,[\"/_next/static/chunks/d862d04e31b23840.js\",\"/_next/static/chunks/0104a5b9631a236e.js\",\"/_next/static/chunks/8e2dace06c7ba38a.js\",\"/_next/static/chunks/344d971b78f6166a.js\",\"/_next/static/chunks/449e2eb6d8a03cf2.js\",\"/_next/static/chunks/fd9284a6cac9bbc3.js\",\"/_next/static/chunks/1f1bf7a8edf38be0.js\",\"/_next/static/chunks/1a67e1875b1ece42.js\",\"/_next/static/chunks/55b24439d566cab9.js\",\"/_next/static/chunks/a487ea34d58d5243.js\",\"/_next/static/chunks/337432cc5ee00e86.js\",\"/_next/static/chunks/f98845cf2d7dcac8.js\",\"/_next/static/chunks/acbf2a8bef41078f.js\",\"/_next/static/chunks/bd5165130a7cbbe2.js\",\"/_next/static/chunks/af91ce282467b1e3.js\",\"/_next/static/chunks/1eae8a5ff1c103ff.js\",\"/_next/static/chunks/3674ed2e2d611d49.js\",\"/_next/static/chunks/2093e73197c69f8a.js\",\"/_next/static/chunks/ff892702a0da24ec.js\"],\"F1FantasyToolsLogo\"]\na:I[897367,[\"/_next/static/chunks/dd4dd01088920e08.js\",\"/_next/static/chunks/ec5ba5291790a938.js\"],\"ViewportBoundary\"]\nc:I[897367,[\"/_next/static/chunks/dd4dd01088920e08.js\",\"/_next/static/chunks/ec5ba5291790a938.js\"],\"MetadataBoundary\"]\ne:I[253348,[\"/_next/static/chunks/567778025d298f5a.js\",\"/_next/static/chunks/35663f4b24d0d6ea.js\"],\"default\"]\nf:I[791432,[\"/_next/static/chunks/d862d04e31b23840.js\",\"/_next/static/chunks/0104a5b9631a236e.js\",\"/_next/static/chunks/8e2dace06c7ba38a.js\",\"/_next/static/chunks/344d971b78f6166a.js\",\"/_next/static/chunks/449e2eb6d8a03cf2.js\",\"/_next/static/chunks/fd9284a6cac9bbc3.js\",\"/_next/static/chunks/1f1bf7a8edf38be0.js\",\"/_next/static/chunks/1a67e1875b1ece42.js\",\"/_next/static/chunks/55b24439d566cab9.js\",\"/_next/static/chunks/a487ea34d58d5243.js\",\"/_next/static/chunks/337432cc5ee00e86.js\",\"/_next/static/chunks/f98845cf2d7dcac8.js\",\"/_next/static/chunks/acbf2a8bef41078f.js\"],\"AuthProvider\"]\n10:I[64482,[\"/_next/static/chunks/d862d04e31b23840.js\",\"/_next/static/chunks/0104a5b9631a236e.js\",\"/_next/static/chunks/8e2dace06c7ba38a.js\",\"/_next/static/chunks/344d971b78f6166a.js\",\"/_next/static/chunks/449e2eb6d8a03cf2.js\",\"/_next/static/chunks/fd9284a6cac9bbc3.js\",\"/_next/static/chunks/1f1bf7a8edf38be0.js\",\"/_next/static/chunks/1a67e1875b1ece42.js\",\"/_next/static/chunks/55b24439d566cab9.js\",\"/_next/static/chunks/a487ea34d58d5243.js\",\"/_next/static/chunks/337432cc5ee00e86.js\",\"/_next/static/chunks/f98845cf2d7dcac8.js\",\"/_next/static/chunks/acbf2a8bef41078f.js\"],\"ThemeProvider\"]\n11:I[705977,[\"/_next/static/chunks/d862d04e31b23840.js\",\"/_next/static/chunks/0104a5b9631a236e.js\",\"/_next/static/chunks/8e2dace06c7ba38a.js\",\"/_next/static/chunks/344d971b78f6166a.js\",\"/_next/static/chunks/449e2eb6d8a03cf2.js\",\"/_next/static/chunks/fd9284a6cac9bbc3.js\",\"/_next/static/chunks/1f1bf7a8edf38be0.js\",\"/_next/static/chunks/1a67e1875b1ece42.js\",\"/_next/static/chunks/55b24439d566cab9.js\",\"/_next/static/chunks/a487ea34d58d5243.js\",\"/_next/static/chunks/337432cc5ee00e86.js\",\"/_next/static/chunks/f98845cf2d7dcac8.js\",\"/_next/static/chunks/acbf2a8bef41078f.js\"],\"PathChangeHandler\"]\n12:I[517574,[\"/_next/static/chunks/d862d04e31b23840.js\",\"/_next/static/chunks/0104a5b9631a236e.js\",\"/_next/static/chunks/8e2dace06c7ba38a.js\",\"/_next/static/chunks/344d971b78f6166a.js\",\"/_next/static/chunks/449e2eb6d8a03cf2.js\",\"/_next/static/chunks/fd9284a6cac9bbc3.js\",\"/_next/static/chunks/1f1bf7a8edf38be0.js\",\"/_next/static/chunks/1a67e1875b1ece42.js\",\"/_next/static/chunks/55b24439d566cab9.js\",\"/_next/static/chunks/a487ea34d58d5243.js\",\"/_next/static/chunks/337432cc5ee00e86.js\",\"/_next/static/chunks/f98845cf2d7dcac8.js\",\"/_next/static/chunks/acbf2a8bef41078f.js\"],\"GeneralFullPageInfoDialog\"]\n13:I[396304,[\"/_next/static/chunks/d862d04e31b23840.js\",\"/_next/static/chunks/0104a5b9631a236e.js\",\"/_next/static/chunks/8e2dace06c7ba38a.js\",\"/"])self.__next_f.push([1,"_next/static/chunks/344d971b78f6166a.js\",\"/_next/static/chunks/449e2eb6d8a03cf2.js\",\"/_next/static/chunks/fd9284a6cac9bbc3.js\",\"/_next/static/chunks/1f1bf7a8edf38be0.js\",\"/_next/static/chunks/1a67e1875b1ece42.js\",\"/_next/static/chunks/55b24439d566cab9.js\",\"/_next/static/chunks/a487ea34d58d5243.js\",\"/_next/static/chunks/337432cc5ee00e86.js\",\"/_next/static/chunks/f98845cf2d7dcac8.js\",\"/_next/static/chunks/acbf2a8bef41078f.js\"],\"default\"]\n2b:I[875507,[\"/_next/static/chunks/d862d04e31b23840.js\",\"/_next/static/chunks/0104a5b9631a236e.js\",\"/_next/static/chunks/8e2dace06c7ba38a.js\",\"/_next/static/chunks/344d971b78f6166a.js\",\"/_next/static/chunks/449e2eb6d8a03cf2.js\",\"/_next/static/chunks/fd9284a6cac9bbc3.js\",\"/_next/static/chunks/1f1bf7a8edf38be0.js\",\"/_next/static/chunks/1a67e1875b1ece42.js\",\"/_next/static/chunks/55b24439d566cab9.js\",\"/_next/static/chunks/a487ea34d58d5243.js\",\"/_next/static/chunks/337432cc5ee00e86.js\",\"/_next/static/chunks/f98845cf2d7dcac8.js\",\"/_next/static/chunks/acbf2a8bef41078f.js\"],\"default\"]\n2c:I[408821,[\"/_next/static/chunks/d862d04e31b23840.js\",\"/_next/static/chunks/0104a5b9631a236e.js\",\"/_next/static/chunks/8e2dace06c7ba38a.js\",\"/_next/static/chunks/344d971b78f6166a.js\",\"/_next/static/chunks/449e2eb6d8a03cf2.js\",\"/_next/static/chunks/fd9284a6cac9bbc3.js\",\"/_next/static/chunks/1f1bf7a8edf38be0.js\",\"/_next/static/chunks/1a67e1875b1ece42.js\",\"/_next/static/chunks/55b24439d566cab9.js\",\"/_next/static/chunks/a487ea34d58d5243.js\",\"/_next/static/chunks/337432cc5ee00e86.js\",\"/_next/static/chunks/f98845cf2d7dcac8.js\",\"/_next/static/chunks/acbf2a8bef41078f.js\",\"/_next/static/chunks/28bf5725873b463c.js\",\"/_next/static/chunks/35663f4b24d0d6ea.js\"],\"default\"]\n2d:I[605500,[\"/_next/static/chunks/d862d04e31b23840.js\",\"/_next/static/chunks/0104a5b9631a236e.js\",\"/_next/static/chunks/8e2dace06c7ba38a.js\",\"/_next/static/chunks/344d971b78f6166a.js\",\"/_next/static/chunks/449e2eb6d8a03cf2.js\",\"/_next/static/chunks/fd9284a6cac9bbc3.js\",\"/_next/static/chunks/1f1bf7a8edf38be0.js\",\"/_next/static/chunks/1a67e1875b1ece42.js\",\"/_next/static/chunks/55b24439d566cab9.js\",\"/_next/static/chunks/a487ea34d58d5243.js\",\"/_next/static/chunks/337432cc5ee00e86.js\",\"/_next/static/chunks/f98845cf2d7dcac8.js\",\"/_next/static/chunks/acbf2a8bef41078f.js\",\"/_next/static/chunks/462dcccb864d29b7.js\"],\"Image\"]\n2e:I[203484,[\"/_next/static/chunks/d862d04e31b23840.js\",\"/_next/static/chunks/0104a5b9631a236e.js\",\"/_next/static/chunks/8e2dace06c7ba38a.js\",\"/_next/static/chunks/344d971b78f6166a.js\",\"/_next/static/chunks/449e2eb6d8a03cf2.js\",\"/_next/static/chunks/fd9284a6cac9bbc3.js\",\"/_next/static/chunks/1f1bf7a8edf38be0.js\",\"/_next/static/chunks/1a67e1875b1ece42.js\",\"/_next/static/chunks/55b24439d566cab9.js\",\"/_next/static/chunks/a487ea34d58d5243.js\",\"/_next/static/chunks/337432cc5ee00e86.js\",\"/_next/static/chunks/f98845cf2d7dcac8.js\",\"/_next/static/chunks/acbf2a8bef41078f.js\"],\"Toaster\"]\n2f:I[957215,[\"/_next/static/chunks/d862d04e31b23840.js\",\"/_next/static/chunks/0104a5b9631a236e.js\",\"/_next/static/chunks/8e2dace06c7ba38a.js\",\"/_next/static/chunks/344d971b78f6166a.js\",\"/_next/static/chunks/449e2eb6d8a03cf2.js\",\"/_next/static/chunks/fd9284a6cac9bbc3.js\",\"/_next/static/chunks/1f1bf7a8edf38be0.js\",\"/_next/static/chunks/1a67e1875b1ece42.js\",\"/_next/static/chunks/55b24439d566cab9.js\",\"/_next/static/chunks/a487ea34d58d5243.js\",\"/_next/static/chunks/337432cc5ee00e86.js\",\"/_next/static/chunks/f98845cf2d7dcac8.js\",\"/_next/static/chunks/acbf2a8bef41078f.js\"],\"SpeedInsights\"]\n30:I[479520,[\"/_next/static/chunks/d862d04e31b23840.js\",\"/_next/static/chunks/0104a5b9631a236e.js\",\"/_next/static/chunks/8e2dace06c7ba38a.js\",\"/_next/static/chunks/344d971b78f6166a.js\",\"/_next/static/chunks/449e2eb6d8a03cf2.js\",\"/_next/static/chunks/fd9284a6cac9bbc3.js\",\"/_next/static/chunks/1f1bf7a8edf38be0.js\",\"/_next/static/chunks/1a67e1875b1ece42.js\",\"/_next/static/chunks/55b24439d566cab9.js\",\"/_next/static/chunks/a487ea34d58d5243.js\",\"/_next/static/chunks/337432cc5ee00e86.js\",\"/_next/static/chunks/f98845cf2d7dcac8.js\",\"/_next/static/chunks/acbf2a8bef41078f.js\"],\"\"]\n50:I[27201,[\"/_next/static"])self.__next_f.push([1,"/chunks/dd4dd01088920e08.js\",\"/_next/static/chunks/ec5ba5291790a938.js\"],\"IconMark\"]\n:HL[\"/_next/static/chunks/ed57021359aa0495.css\",\"style\"]\n:HL[\"/_next/static/chunks/6206d21143704fde.css\",\"style\"]\n:HL[\"/_next/static/media/83afe278b6a6bb3c-s.p.3a6ba036.woff2\",\"font\",{\"crossOrigin\":\"\",\"type\":\"font/woff2\"}]\n:HL[\"/_next/static/media/ab57efd000576a30-s.p.37015d44.woff2\",\"font\",{\"crossOrigin\":\"\",\"type\":\"font/woff2\"}]\n"])self.__next_f.push([1,"0:{\"P\":null,\"b\":\"wpNyanl7K_ojbrtbp8-Ag\",\"c\":[\"\",\"statistics\"],\"q\":\"\",\"i\":false,\"f\":[[[\"\",{\"children\":[\"statistics\",{\"children\":[\"__PAGE__\",{}]}]},\"$undefined\",\"$undefined\",true],[[\"$\",\"$1\",\"c\",{\"children\":[[[\"$\",\"link\",\"0\",{\"rel\":\"stylesheet\",\"href\":\"/_next/static/chunks/ed57021359aa0495.css\",\"precedence\":\"next\",\"crossOrigin\":\"$undefined\",\"nonce\":\"$undefined\"}],[\"$\",\"link\",\"1\",{\"rel\":\"stylesheet\",\"href\":\"/_next/static/chunks/6206d21143704fde.css\",\"precedence\":\"next\",\"crossOrigin\":\"$undefined\",\"nonce\":\"$undefined\"}],[\"$\",\"script\",\"script-0\",{\"src\":\"/_next/static/chunks/d862d04e31b23840.js\",\"async\":true,\"nonce\":\"$undefined\"}],[\"$\",\"script\",\"script-1\",{\"src\":\"/_next/static/chunks/0104a5b9631a236e.js\",\"async\":true,\"nonce\":\"$undefined\"}],[\"$\",\"script\",\"script-2\",{\"src\":\"/_next/static/chunks/8e2dace06c7ba38a.js\",\"async\":true,\"nonce\":\"$undefined\"}],[\"$\",\"script\",\"script-3\",{\"src\":\"/_next/static/chunks/344d971b78f6166a.js\",\"async\":true,\"nonce\":\"$undefined\"}],[\"$\",\"script\",\"script-4\",{\"src\":\"/_next/static/chunks/449e2eb6d8a03cf2.js\",\"async\":true,\"nonce\":\"$undefined\"}],[\"$\",\"script\",\"script-5\",{\"src\":\"/_next/static/chunks/fd9284a6cac9bbc3.js\",\"async\":true,\"nonce\":\"$undefined\"}],[\"$\",\"script\",\"script-6\",{\"src\":\"/_next/static/chunks/1f1bf7a8edf38be0.js\",\"async\":true,\"nonce\":\"$undefined\"}],[\"$\",\"script\",\"script-7\",{\"src\":\"/_next/static/chunks/1a67e1875b1ece42.js\",\"async\":true,\"nonce\":\"$undefined\"}],[\"$\",\"script\",\"script-8\",{\"src\":\"/_next/static/chunks/55b24439d566cab9.js\",\"async\":true,\"nonce\":\"$undefined\"}],[\"$\",\"script\",\"script-9\",{\"src\":\"/_next/static/chunks/a487ea34d58d5243.js\",\"async\":true,\"nonce\":\"$undefined\"}],[\"$\",\"script\",\"script-10\",{\"src\":\"/_next/static/chunks/337432cc5ee00e86.js\",\"async\":true,\"nonce\":\"$undefined\"}],[\"$\",\"script\",\"script-11\",{\"src\":\"/_next/static/chunks/f98845cf2d7dcac8.js\",\"async\":true,\"nonce\":\"$undefined\"}],[\"$\",\"script\",\"script-12\",{\"src\":\"/_next/static/chunks/acbf2a8bef41078f.js\",\"async\":true,\"nonce\":\"$undefined\"}]],\"$L2\"]}],{\"children\":[[\"$\",\"$1\",\"c\",{\"children\":[null,[\"$\",\"$L3\",null,{\"parallelRouterKey\":\"children\",\"error\":\"$undefined\",\"errorStyles\":\"$undefined\",\"errorScripts\":\"$undefined\",\"template\":[\"$\",\"$L4\",null,{}],\"templateStyles\":\"$undefined\",\"templateScripts\":\"$undefined\",\"notFound\":\"$undefined\",\"forbidden\":\"$undefined\",\"unauthorized\":\"$undefined\"}]]}],{\"children\":[[\"$\",\"$1\",\"c\",{\"children\":[\"$L5\",[[\"$\",\"script\",\"script-0\",{\"src\":\"/_next/static/chunks/bd5165130a7cbbe2.js\",\"async\":true,\"nonce\":\"$undefined\"}],[\"$\",\"script\",\"script-1\",{\"src\":\"/_next/static/chunks/af91ce282467b1e3.js\",\"async\":true,\"nonce\":\"$undefined\"}],[\"$\",\"script\",\"script-2\",{\"src\":\"/_next/static/chunks/1eae8a5ff1c103ff.js\",\"async\":true,\"nonce\":\"$undefined\"}],[\"$\",\"script\",\"script-3\",{\"src\":\"/_next/static/chunks/3674ed2e2d611d49.js\",\"async\":true,\"nonce\":\"$undefined\"}],[\"$\",\"script\",\"script-4\",{\"src\":\"/_next/static/chunks/2093e73197c69f8a.js\",\"async\":true,\"nonce\":\"$undefined\"}],[\"$\",\"script\",\"script-5\",{\"src\":\"/_next/static/chunks/ff892702a0da24ec.js\",\"async\":true,\"nonce\":\"$undefined\"}]],[\"$\",\"$L6\",null,{\"children\":[\"$\",\"$7\",null,{\"name\":\"Next.MetadataOutlet\",\"children\":\"$@8\"}]}]]}],{},null,false,false]},null,false,false]},[[\"$\",\"div\",\"l\",{\"className\":\"flex h-screen w-full items-center justify-center\",\"children\":[\"$\",\"$L9\",null,{\"className\":\"h-8 w-fit animate-spin\"}]}],[],[]],false,false],[\"$\",\"$1\",\"h\",{\"children\":[null,[\"$\",\"$La\",null,{\"children\":\"$Lb\"}],[\"$\",\"div\",null,{\"hidden\":true,\"children\":[\"$\",\"$Lc\",null,{\"children\":[\"$\",\"$7\",null,{\"name\":\"Next.Metadata\",\"children\":\"$Ld\"}]}]}],[\"$\",\"meta\",null,{\"name\":\"next-size-adjust\",\"content\":\"\"}]]}],false]],\"m\":\"$undefined\",\"G\":[\"$e\",[]],\"S\":false}\n"])self.__next_f.push([1,"2:[\"$\",\"html\",null,{\"lang\":\"en\",\"suppressHydrationWarning\":true,\"children\":[[\"$\",\"body\",null,{\"className\":\"inter_5901b7c6-module__ec5Qua__variable inter_tight_1f550e88-module__8l2g-W__variable inter_5901b7c6-module__ec5Qua__className bg-background\",\"children\":[[\"$\",\"$Lf\",null,{\"user\":null,\"children\":[\"$\",\"$L10\",null,{\"attribute\":\"class\",\"defaultTheme\":\"dark\",\"disableTransitionOnChange\":true,\"children\":[[\"$\",\"$L11\",null,{}],[\"$\",\"$L12\",null,{\"sessionStorageKey\":\"hasSeenPreparingForNextSeasonDialog\",\"title\":\"We're updating the site for 2026!\",\"description\":[[\"$\",\"p\",null,{\"children\":\"At the start of a new season, bugs tend to appear more often than usual. So if you notice any bugs or issues, please let us know via the feedback form in the \\\"More\\\" menu or in our Discord server. We'll try to fix them as soon as possible. Thank you!\"}],[\"$\",\"p\",null,{\"children\":\"In the meantime, don't forget to join our public \\\"F1 Fantasy Tools League\\\". Enjoy team building!\"}]],\"actionHref\":\"https://fantasy.formula1.com/en/leagues/join/P6JLDWQV606\",\"actionLabel\":\"Join our league\"}],[\"$\",\"div\",null,{\"vaul-drawer-wrapper\":\"\",\"className\":\"bg-grain bg-background\",\"children\":[\"$\",\"div\",null,{\"className\":\"flex w-full gap-0 md:gap-2\",\"children\":[[\"$\",\"aside\",null,{\"className\":\"sticky bottom-0 top-0 z-40 hidden h-[100dvh] w-fit py-4 pl-4 md:block\",\"children\":[\"$\",\"$L13\",null,{\"initTheme\":\"dark\",\"session\":null,\"pages\":[{\"icon\":[\"$\",\"svg\",null,{\"ref\":\"$undefined\",\"xmlns\":\"http://www.w3.org/2000/svg\",\"width\":20,\"height\":20,\"viewBox\":\"0 0 24 24\",\"fill\":\"none\",\"stroke\":\"currentColor\",\"strokeWidth\":2,\"strokeLinecap\":\"round\",\"strokeLinejoin\":\"round\",\"className\":\"lucide lucide-calculator min-w-5\",\"children\":[[\"$\",\"rect\",\"1nb95v\",{\"width\":\"16\",\"height\":\"20\",\"x\":\"4\",\"y\":\"2\",\"rx\":\"2\"}],[\"$\",\"line\",\"x4nwl0\",{\"x1\":\"8\",\"x2\":\"16\",\"y1\":\"6\",\"y2\":\"6\"}],[\"$\",\"line\",\"wjye3r\",{\"x1\":\"16\",\"x2\":\"16\",\"y1\":\"14\",\"y2\":\"18\"}],[\"$\",\"path\",\"1m94wz\",{\"d\":\"M16 10h.01\"}],[\"$\",\"path\",\"1nrarc\",{\"d\":\"M12 10h.01\"}],[\"$\",\"path\",\"19clt8\",{\"d\":\"M8 10h.01\"}],[\"$\",\"path\",\"1etili\",{\"d\":\"M12 14h.01\"}],[\"$\",\"path\",\"6423bh\",{\"d\":\"M8 14h.01\"}],[\"$\",\"path\",\"mhygvu\",{\"d\":\"M12 18h.01\"}],[\"$\",\"path\",\"lrp35t\",{\"d\":\"M8 18h.01\"}],\"$undefined\"]}],\"title\":\"Team Calculator\",\"description\":[\"$\",\"span\",null,{\"children\":[\"Find the best teams for \",[\"$\",\"b\",null,{\"children\":\"you\"}],\" using top-tier simulations from our analyst Rhter.\"]}],\"link\":\"/team-calculator\",\"isNew\":false,\"priority\":1,\"color\":\"tool-calculator\",\"mockupImage\":{\"src\":\"/_next/static/media/TC.8d8d729e.png\",\"width\":900,\"height\":1840,\"blurWidth\":4,\"blurHeight\":8,\"blurDataURL\":\"data:image/png;base64,iVBORw0KGgoAAAANSUhEUgAAAAQAAAAICAYAAADeM14FAAAAgElEQVR42iXK0Q6CIBSAYe6BCYaAy2lBgUpba6273v8NeBDx3J9oXv3bv48wxjKlFGpBCJnJ0OvyDg7PbkGlulKHhecacUwraq13YlULn3jFeUlojN1J18ryGCacQ/iLQoyS2yuO2F9cHaYQfZLbNzmcvD+EaJp89zcwVgPnPP8AjBcojOcx+rgAAAAASUVORK5CYII=\"},\"isFreeTool\":true,\"hasRhterLink\":true},{\"icon\":[\"$\",\"svg\",null,{\"ref\":\"$undefined\",\"xmlns\":\"http://www.w3.org/2000/svg\",\"width\":20,\"height\":20,\"viewBox\":\"0 0 24 24\",\"fill\":\"none\",\"stroke\":\"currentColor\",\"strokeWidth\":2,\"strokeLinecap\":\"round\",\"strokeLinejoin\":\"round\",\"className\":\"lucide lucide-circle-dollar-sign min-w-5\",\"children\":[[\"$\",\"circle\",\"1mglay\",{\"cx\":\"12\",\"cy\":\"12\",\"r\":\"10\"}],[\"$\",\"path\",\"1h4pet\",{\"d\":\"M16 8h-6a2 2 0 1 0 0 4h4a2 2 0 1 1 0 4H8\"}],[\"$\",\"path\",\"zqpxq5\",{\"d\":\"M12 18V6\"}],\"$undefined\"]}],\"title\":\"Budget Builder\",\"description\":[\"$\",\"span\",null,{\"children\":\"See what assets are likely to increase in price so you can build your budget.\"}],\"link\":\"/budget-builder\",\"isNew\":false,\"priority\":1,\"color\":\"tool-budget-builder\",\"mockupImage\":{\"src\":\"/_next/static/media/BB.bc93c5ba.png\",\"width\":900,\"height\":1840,\"blurWidth\":4,\"blurHeight\":8,\"blurDataURL\":\"data:image/png;base64,iVBORw0KGgoAAAANSUhEUgAAAAQAAAAICAYAAADeM14FAAAAe0lEQVR42hWNMRKDIBAA7wUymHjgHSAGMpGZtHlA8v+Wh4j0Fy12ttsFrXVVSvWLcbxVMIjN3CfZcpY5UIPvy/TonMQ1y5K3A54+dEQjlrzgzAegWZubjGRmwWQblM9vd+EhMRU53WAp792SEw5J0J7Ra0XEndj3YVD1D5qjKM7V7Br+AAAAAElFTkSuQmCC\"},\"isFreeTool\":true},{\"icon\":[\"$\",\"svg\",null,{\"ref\":\"$undefined\",\"xmlns\":\"http://www.w3.org/2000/svg\",\"width\":20,\"height\":20,\"viewBox\":\"0 0 24 24\",\"fill\":\"none\",\"stroke\":\"currentColor\",\"strokeWidth\":2,\"strokeLinecap\":\"round\",\"strokeLinejoin\":\"round\",\"className\":\"lucide lucide-radio min-w-5\",\"children\":[\"$L14\",\"$L15\",\"$L16\",\"$L17\",\"$L18\",\"$undefined\"]}],\"title\":\"Live Scoring\",\"description\":\"$L19\",\"link\":\"/live\",\"isNew\":false,\"heroImage\":{\"src\":\"/_next/static/media/LiveHero.789472ce.png\",\"width\":1080,\"height\":694,\"blurWidth\":8,\"blurHeight\":5,\"blurDataURL\":\"data:image/png;base64,iVBORw0KGgoAAAANSUhEUgAAAAgAAAAFCAYAAAB4ka1VAAAAfUlEQVR42h2OOQrAIAAE/U2aXJDECy8EC8FGO22t/MU+PWi3LLMHua4LxhiUUiCEWJpSiuM4sG0byPd9UEqhtQZrLZ7nAeccjDGc5wkSY0TvHSkl3Pe9zJmekHMOJOeMMQZqrXjfF/u+L3DOee9BZpXWGiGEZcwPUsoFz7YfkSAwmZM/YL8AAAAASUVORK5CYII=\"},\"priority\":1,\"color\":\"tool-live\",\"mockupImage\":{\"src\":\"/_next/static/media/LS.14b2942c.png\",\"width\":900,\"height\":1840,\"blurWidth\":4,\"blurHeight\":8,\"blurDataURL\":\"data:image/png;base64,iVBORw0KGgoAAAANSUhEUgAAAAQAAAAICAYAAADeM14FAAAAg0lEQVR42g3LuwoCMRBA0WkX0SSTTF64KDYiIqtdBC1stBX/PR+y2enHtJd7QBlVV2rNWhtGxArOYVPOCJIVjaZBuWWO5yDuQoLZLjCVB+frVujo+6EXeH9/LU+jhH0Q7Tp5fe5zOiUJoxeFusHuWeZ4SEK5B6MabKyv5IhjjDwMQ/0DkvAopwnQv2QAAAAASUVORK5CYII=\"},\"isFreeTool\":true},{\"icon\":\"$L1a\",\"title\":\"Season Summary\",\"description\":\"$L1b\",\"link\":\"/season-summary\",\"isNew\":false,\"isSoon\":false,\"priority\":1,\"color\":\"tool-summary\",\"mockupImage\":{\"src\":\"/_next/static/media/SS.da9bd6e2.png\",\"width\":900,\"height\":1840,\"blurWidth\":4,\"blurHeight\":8,\"blurDataURL\":\"data:image/png;base64,iVBORw0KGgoAAAANSUhEUgAAAAQAAAAICAYAAADeM14FAAAAgElEQVR42iXIzQ7BQBAA4Dm2Zkx3w/5qlyAkoiLcnDyBqyffB7Hd+5C4ftA0TUacVWNsJaIMWqvSxyhpSNK2bQHHqo5uJRvrpSOawChd1z5KcD+Y8wTMXMxiKVsbJPpQgBA/PXXyTid5XK5/iMTyiju5HQ8FEDFb4voc9vV+HvMX9ponWa/LV+4AAAAASUVORK5CYII=\"},\"isFreeTool\":false},{\"icon\":\"$L1c\",\"title\":\"Elite Data\",\"description\":\"$L1d\",\"link\":\"/elite-data\",\"isNew\":false,\"priority\":1,\"color\":\"tool-elite\",\"mockupImage\":{\"src\":\"/_next/static/media/ED.8ade554b.png\",\"width\":900,\"height\":1840,\"blurWidth\":4,\"blurHeight\":8,\"blurDataURL\":\"data:image/png;base64,iVBORw0KGgoAAAANSUhEUgAAAAQAAAAICAYAAADeM14FAAAAg0lEQVR42gUATQ+CIPRdzdpcfoTEE0NQwmprs0On6trq5/NDRO7PQZqmPkk2sSzLmOeFB0QMVV0RxyPlhyLA7/+NbhoJz5K4Fgt83q/YXyy1VpHQuIA+qdBpQ2rQxKUI8HxMc+8sNV1LTPAA42Dm9qoI75KYqQNk+8w3NxmZq+OW7fwKGG0qs6rW82AAAAAASUVORK5CYII=\"},\"isFreeTool\":true},{\"icon\":\"$L1e\",\"title\":\"Statistics\",\"description\":\"$L1f\",\"link\":\"/statistics\",\"isNew\":false,\"priority\":1,\"color\":\"tool-statistics\",\"mockupImage\":{\"src\":\"/_next/static/media/ST.e637a571.png\",\"width\":900,\"height\":1840,\"blurWidth\":4,\"blurHeight\":8,\"blurDataURL\":\"data:image/png;base64,iVBORw0KGgoAAAANSUhEUgAAAAQAAAAICAYAAADeM14FAAAAiklEQVR42g3NvQ7CIBRA4fsChaQKLT+NYpriYBQNarVqYuLi5u5z8yCl7LdsZzn5gFIaCCGpKEgqyzKA3e7jw3vsjyc0Wke4XH/p2Vr8rA2eazlB//qng2hwWDL0jE8w3F20UqFjFe4Yj9B8b6NWCmUlsOV1hI17jzlwlRfDqwgsU52UqRMiLQgNM3emK0D4ndIXAAAAAElFTkSuQmCC\"},\"isFreeTool\":true},{\"icon\":\"$L20\",\"title\":\"Team Analyzer\",\"description\":\"$L21\",\"link\":\"/team-analyzer\",\"isNew\":false,\"isSoon\":false,\"priority\":1,\"color\":\"tool-analyzer\",\"mockupImage\":{\"src\":\"/_next/static/media/TA.3159b19d.png\",\"width\":900,\"height\":1840,\"blurWidth\":4,\"blurHeight\":8,\"blurDataURL\":\"data:image/png;base64,iVBORw0KGgoAAAANSUhEUgAAAAQAAAAICAYAAADeM14FAAAAfklEQVR42hXMORLCMAxAUfWxLHmJ7ASzVCwlAx0zqbh/54PEcS9C9Wd+8YDIVjMMnazt3vsKY/BNotM0enXON7icS/+877osX30+XhuEEPo8Zc15UomyAQo2uRaVdFREbIAJ18Nt1lMuaq1tYAyuRKTMTvf+h6nM3ONuMVP9AUhFJsYrdOQYAAAAAElFTkSuQmCC\"},\"isFreeTool\":false},{\"icon\":\"$L22\",\"title\":\"League Analyzer\",\"description\":\"$L23\",\"link\":\"/league-analyzer\",\"isNew\":false,\"isSoon\":false,\"priority\":1,\"color\":\"tool-league\",\"mockupImage\":{\"src\":\"/_next/static/media/LA.3a04aa10.png\",\"width\":900,\"height\":1840,\"blurWidth\":4,\"blurHeight\":8,\"blurDataURL\":\"data:image/png;base64,iVBORw0KGgoAAAANSUhEUgAAAAQAAAAICAYAAADeM14FAAAAg0lEQVR42g3LQQ6CMBBA0TkAhdBYGdtiLQjUEo1u3Jh4/wv0IJTZD138zU8eCCFSiURdU9u2CaSUGREZjeYyMtyspm9c+L8+uJ/vO2iNtC4jh1dk7687IHY5zAPH95Od6zNYc9k+hfxiYDP6DGd12ibvOAwTK8QMoqqS6RQ560g0TToAq64pNCz96iYAAAAASUVORK5CYII=\"},\"isFreeTool\":false},{\"icon\":\"$L24\",\"title\":\"Hindsight\",\"description\":\"$L25\",\"link\":\"/hindsight\",\"isNew\":false,\"isSoon\":false,\"priority\":0.5,\"color\":\"tool-hindsight\",\"mockupImage\":{\"src\":\"/_next/static/media/HS.da3d9930.png\",\"width\":900,\"height\":1840,\"blurWidth\":4,\"blurHeight\":8,\"blurDataURL\":\"data:image/png;base64,iVBORw0KGgoAAAANSUhEUgAAAAQAAAAICAYAAADeM14FAAAAf0lEQVR42hXNTQ6CMBCG4bkATfozIzSpiNAAmmDcaLz/GXoQhtmPZfflWXwvGGNK0zRirRXnXIE62HqvAUkrMPQpyuf30nX7KiIeELtO1jlrvs/qfTiA6MLPZdL0GJSQ+IQ9TqO2Y6ofniH4do/5rddlUwzIULX0t0EQSWq+/AFvHigtDRhhxQAAAABJRU5ErkJggg==\"},\"isFreeTool\":true}]}]}],\"$L26\",\"$L27\"]}]}],\"$L28\"]}]}],\"$L29\"]}],\"$L2a\"]}]\n"])self.__next_f.push([1,"14:[\"$\",\"path\",\"1vaf9d\",{\"d\":\"M4.9 19.1C1 15.2 1 8.8 4.9 4.9\"}]\n15:[\"$\",\"path\",\"u1ii0m\",{\"d\":\"M7.8 16.2c-2.3-2.3-2.3-6.1 0-8.5\"}]\n16:[\"$\",\"circle\",\"1c9p78\",{\"cx\":\"12\",\"cy\":\"12\",\"r\":\"2\"}]\n17:[\"$\",\"path\",\"1j5fej\",{\"d\":\"M16.2 7.8c2.3 2.3 2.3 6.1 0 8.5\"}]\n18:[\"$\",\"path\",\"10b0cb\",{\"d\":\"M19.1 4.9C23 8.8 23 15.1 19.1 19\"}]\n19:[\"$\",\"span\",null,{\"children\":\"Follow your F1 Fantasy Teams live throughout the weekend.\"}]\n1a:[\"$\",\"svg\",null,{\"ref\":\"$undefined\",\"xmlns\":\"http://www.w3.org/2000/svg\",\"width\":20,\"height\":20,\"viewBox\":\"0 0 24 24\",\"fill\":\"none\",\"stroke\":\"currentColor\",\"strokeWidth\":2,\"strokeLinecap\":\"round\",\"strokeLinejoin\":\"round\",\"className\":\"lucide lucide-scroll-text min-w-5\",\"children\":[[\"$\",\"path\",\"r7krc0\",{\"d\":\"M15 12h-5\"}],[\"$\",\"path\",\"1khuty\",{\"d\":\"M15 8h-5\"}],[\"$\",\"path\",\"zz82l3\",{\"d\":\"M19 17V5a2 2 0 0 0-2-2H4\"}],[\"$\",\"path\",\"1ph1d7\",{\"d\":\"M8 21h12a2 2 0 0 0 2-2v-1a1 1 0 0 0-1-1H11a1 1 0 0 0-1 1v1a2 2 0 1 1-4 0V5a2 2 0 1 0-4 0v2a1 1 0 0 0 1 1h3\"}],\"$undefined\"]}]\n1b:[\"$\",\"span\",null,{\"children\":\"Get a personal summary of your F1 Fantasy season.\"}]\n1c:[\"$\",\"svg\",null,{\"ref\":\"$undefined\",\"xmlns\":\"http://www.w3.org/2000/svg\",\"width\":20,\"height\":20,\"viewBox\":\"0 0 24 24\",\"fill\":\"none\",\"stroke\":\"currentColor\",\"strokeWidth\":2,\"strokeLinecap\":\"round\",\"strokeLinejoin\":\"round\",\"className\":\"lucide lucide-crown min-w-5\",\"children\":[[\"$\",\"path\",\"1vdc57\",{\"d\":\"M11.562 3.266a.5.5 0 0 1 .876 0L15.39 8.87a1 1 0 0 0 1.516.294L21.183 5.5a.5.5 0 0 1 .798.519l-2.834 10.246a1 1 0 0 1-.956.734H5.81a1 1 0 0 1-.957-.734L2.02 6.02a.5.5 0 0 1 .798-.519l4.276 3.664a1 1 0 0 0 1.516-.294z\"}],[\"$\",\"path\",\"11awu3\",{\"d\":\"M5 21h14\"}],\"$undefined\"]}]\n1d:[\"$\",\"span\",null,{\"children\":\"Learn from the Top 500 global players and compare strategies.\"}]\n1e:[\"$\",\"svg\",null,{\"ref\":\"$undefined\",\"xmlns\":\"http://www.w3.org/2000/svg\",\"width\":20,\"height\":20,\"viewBox\":\"0 0 24 24\",\"fill\":\"none\",\"stroke\":\"currentColor\",\"strokeWidth\":2,\"strokeLinecap\":\"round\",\"strokeLinejoin\":\"round\",\"className\":\"lucide lucide-chart-column min-w-5\",\"children\":[[\"$\",\"path\",\"c24i48\",{\"d\":\"M3 3v16a2 2 0 0 0 2 2h16\"}],[\"$\",\"path\",\"2bz60n\",{\"d\":\"M18 17V9\"}],[\"$\",\"path\",\"1frdt8\",{\"d\":\"M13 17V5\"}],[\"$\",\"path\",\"17ska0\",{\"d\":\"M8 17v-3\"}],\"$undefined\"]}]\n1f:[\"$\",\"span\",null,{\"children\":\"Dive into the F1 (Fantasy) data for every race, driver and constructor.\"}]\n20:[\"$\",\"svg\",null,{\"ref\":\"$undefined\",\"xmlns\":\"http://www.w3.org/2000/svg\",\"width\":20,\"height\":20,\"viewBox\":\"0 0 24 24\",\"fill\":\"none\",\"stroke\":\"currentColor\",\"strokeWidth\":2,\"strokeLinecap\":\"round\",\"strokeLinejoin\":\"round\",\"className\":\"lucide lucide-search-check min-w-5\",\"children\":[[\"$\",\"path\",\"1sed1v\",{\"d\":\"m8 11 2 2 4-4\"}],[\"$\",\"circle\",\"4ej97u\",{\"cx\":\"11\",\"cy\":\"11\",\"r\":\"8\"}],[\"$\",\"path\",\"1qie3q\",{\"d\":\"m21 21-4.3-4.3\"}],\"$undefined\"]}]\n21:[\"$\",\"span\",null,{\"children\":\"Analyze the decisions you made for your teams throughout the season.\"}]\n22:[\"$\",\"svg\",null,{\"ref\":\"$undefined\",\"xmlns\":\"http://www.w3.org/2000/svg\",\"width\":20,\"height\":20,\"viewBox\":\"0 0 24 24\",\"fill\":\"none\",\"stroke\":\"currentColor\",\"strokeWidth\":2,\"strokeLinecap\":\"round\",\"strokeLinejoin\":\"round\",\"className\":\"lucide lucide-swords min-w-5\",\"children\":[[\"$\",\"polyline\",\"1hfsw2\",{\"points\":\"14.5 17.5 3 6 3 3 6 3 17.5 14.5\"}],[\"$\",\"line\",\"1vrmhu\",{\"x1\":\"13\",\"x2\":\"19\",\"y1\":\"19\",\"y2\":\"13\"}],[\"$\",\"line\",\"1bron3\",{\"x1\":\"16\",\"x2\":\"20\",\"y1\":\"16\",\"y2\":\"20\"}],[\"$\",\"line\",\"13pww6\",{\"x1\":\"19\",\"x2\":\"21\",\"y1\":\"21\",\"y2\":\"19\"}],[\"$\",\"polyline\",\"hbey2j\",{\"points\":\"14.5 6.5 18 3 21 3 21 6 17.5 9.5\"}],[\"$\",\"line\",\"1hf58s\",{\"x1\":\"5\",\"x2\":\"9\",\"y1\":\"14\",\"y2\":\"18\"}],[\"$\",\"line\",\"pidxm4\",{\"x1\":\"7\",\"x2\":\"4\",\"y1\":\"17\",\"y2\":\"20\"}],[\"$\",\"line\",\"1pehsh\",{\"x1\":\"3\",\"x2\":\"5\",\"y1\":\"19\",\"y2\":\"21\"}],\"$undefined\"]}]\n23:[\"$\",\"span\",null,{\"children\":\"Analyze and visualize your leagues to keep track of the competition.\"}]\n24:[\"$\",\"svg\",null,{\"ref\":\"$undefined\",\"xmlns\":\"http://www.w3.org/2000/svg\",\"width\":20,\"height\":20,\"viewBox\":\"0 0 24 24\",\"fill\":\"none\",\"stroke\":\"currentColor\",\"strokeWidth\":2,\"strokeLinecap\":\"round\",\"strokeLinejoin\":\"round\",\"className\":\"lucide lucide-rewind min-w-5\",\"children\":[[\"$\",\"polygon\",\"14y"])self.__next_f.push([1,"ba5\",{\"points\":\"11 19 2 12 11 5 11 19\"}],[\"$\",\"polygon\",\"1pi1cj\",{\"points\":\"22 19 13 12 22 5 22 19\"}],\"$undefined\"]}]\n25:[\"$\",\"span\",null,{\"children\":\"Find out - with hindsight - what the optimal teams were for past races.\"}]\n26:[\"$\",\"$L2b\",null,{\"navItems\":\"$2:props:children:0:props:children:0:props:children:props:children:2:props:children:props:children:0:props:children:props:pages\",\"initTheme\":\"dark\",\"session\":null}]\n"])self.__next_f.push([1,"27:[\"$\",\"main\",null,{\"className\":\"flex h-full flex-grow flex-col items-center justify-between overflow-y-auto\",\"children\":[\"$\",\"$L3\",null,{\"parallelRouterKey\":\"children\",\"error\":\"$2c\",\"errorStyles\":[],\"errorScripts\":[[\"$\",\"script\",\"script-0\",{\"src\":\"/_next/static/chunks/28bf5725873b463c.js\",\"async\":true}],[\"$\",\"script\",\"script-1\",{\"src\":\"/_next/static/chunks/35663f4b24d0d6ea.js\",\"async\":true}]],\"template\":[\"$\",\"$L4\",null,{}],\"templateStyles\":\"$undefined\",\"templateScripts\":\"$undefined\",\"notFound\":[[\"$\",\"div\",null,{\"className\":\"flex h-[100dvh] w-full flex-col items-center justify-center\",\"children\":[[\"$\",\"h1\",null,{\"className\":\"scroll-m-20 text-7xl font-extrabold tracking-tight lg:text-8xl\",\"children\":\"404\"}],[\"$\",\"h2\",null,{\"className\":\"mt-6 max-w-72 scroll-m-20 text-center text-3xl tracking-tight transition-colors\",\"children\":[[\"$\",\"span\",null,{\"className\":\"text-muted-foreground\",\"children\":\"No Michael, no no Michael, that was so\"}],\" \",\"not \",[\"$\",\"span\",null,{\"className\":\"text-muted-foreground\",\"children\":\"(\"}],\"the\",[\"$\",\"span\",null,{\"className\":\"text-muted-foreground\",\"children\":\")\"}],\" right\",\" \",[\"$\",\"span\",null,{\"className\":\"text-muted-foreground\",\"children\":\"(\"}],\"page\",[\"$\",\"span\",null,{\"className\":\"text-muted-foreground\",\"children\":\")\"}],\"!\"]}],[\"$\",\"div\",null,{\"className\":\"mt-14 w-full max-w-[500px] px-4\",\"children\":[\"$\",\"$L2d\",null,{\"priority\":true,\"src\":{\"src\":\"/_next/static/media/no-michael-no-toto-wolff.e20aeacb.gif\",\"width\":640,\"height\":360,\"blurWidth\":0,\"blurHeight\":0},\"alt\":\"Gif of an angry Toto Wolff screaming at Michael Masi via his headset at the end of the 2021 Abu Dhabi Grand Prix\",\"width\":500,\"className\":\"w-full rounded-lg\"}]}]]}],[]],\"forbidden\":\"$undefined\",\"unauthorized\":\"$undefined\"}]}]\n"])self.__next_f.push([1,"28:[\"$\",\"$L2e\",null,{\"closeButton\":true}]\n29:[\"$\",\"$L2f\",null,{}]\n2a:[\"$\",\"$L30\",null,{\"defer\":true,\"src\":\"/ok/script.js\",\"data-website-id\":\"8a438ccb-a923-421c-9b1f-7d5c5792215a\"}]\nb:[[\"$\",\"meta\",\"0\",{\"charSet\":\"utf-8\"}],[\"$\",\"meta\",\"1\",{\"name\":\"viewport\",\"content\":\"width=device-width, initial-scale=1\"}]]\n8:null\n"])self.__next_f.push([1,"d:[[\"$\",\"title\",\"0\",{\"children\":\"Statistics - Dive into the F1 (Fantasy) data for every race, driver and constructor.\"}],[\"$\",\"meta\",\"1\",{\"name\":\"description\",\"content\":\"Show specific data types like Fastest Lap, Overtakes, DNF and much more - or filter through all possible Fantasy Points combinations. All of this in big interactive, easy to use, color-coded tables.\"}],[\"$\",\"meta\",\"2\",{\"name\":\"application-name\",\"content\":\"F1 Fantasy Tools\"}],[\"$\",\"link\",\"3\",{\"rel\":\"manifest\",\"href\":\"/manifest.webmanifest\",\"crossOrigin\":\"$undefined\"}],[\"$\",\"meta\",\"4\",{\"name\":\"keywords\",\"content\":\"F1 Fantasy,Formula 1,Fantasy,Tools\"}],[\"$\",\"meta\",\"5\",{\"name\":\"referrer\",\"content\":\"no-referrer-when-downgrade\"}],[\"$\",\"meta\",\"6\",{\"name\":\"mobile-web-app-capable\",\"content\":\"yes\"}],[\"$\",\"meta\",\"7\",{\"name\":\"apple-mobile-web-app-title\",\"content\":\"F1 Fantasy Tools\"}],[\"$\",\"link\",\"8\",{\"href\":\"/splash_screens/iPhone_15_Pro_Max__iPhone_15_Plus__iPhone_14_Pro_Max_portrait.png\",\"media\":\"screen and (device-width: 430px) and (device-height: 932px) and (-webkit-device-pixel-ratio: 3) and (orientation: portrait)\",\"rel\":\"apple-touch-startup-image\"}],[\"$\",\"link\",\"9\",{\"href\":\"/splash_screens/iPhone_15_Pro__iPhone_15__iPhone_14_Pro_portrait.png\",\"media\":\"screen and (device-width: 393px) and (device-height: 852px) and (-webkit-device-pixel-ratio: 3) and (orientation: portrait)\",\"rel\":\"apple-touch-startup-image\"}],[\"$\",\"link\",\"10\",{\"href\":\"/splash_screens/iPhone_14_Plus__iPhone_13_Pro_Max__iPhone_12_Pro_Max_portrait.png\",\"media\":\"screen and (device-width: 428px) and (device-height: 926px) and (-webkit-device-pixel-ratio: 3) and (orientation: portrait)\",\"rel\":\"apple-touch-startup-image\"}],[\"$\",\"link\",\"11</t>
  </si>
  <si>
    <t>Statistics - Dive into the F1 (Fantasy) data for every race, driver and constructor.</t>
  </si>
  <si>
    <t>self.__next_f.push([1,"51:I[170390,[\"/_next/static/chunks/d862d04e31b23840.js\",\"/_next/static/chunks/0104a5b9631a236e.js\",\"/_next/static/chunks/8e2dace06c7ba38a.js\",\"/_next/static/chunks/344d971b78f6166a.js\",\"/_next/static/chunks/449e2eb6d8a03cf2.js\",\"/_next/static/chunks/fd9284a6cac9bbc3.js\",\"/_next/static/chunks/1f1bf7a8edf38be0.js\",\"/_next/static/chunks/1a67e1875b1ece42.js\",\"/_next/static/chunks/55b24439d566cab9.js\",\"/_next/static/chunks/a487ea34d58d5243.js\",\"/_next/static/chunks/337432cc5ee00e86.js\",\"/_next/static/chunks/f98845cf2d7dcac8.js\",\"/_next/static/chunks/acbf2a8bef41078f.js\",\"/_next/static/chunks/bd5165130a7cbbe2.js\",\"/_next/static/chunks/af91ce282467b1e3.js\",\"/_next/static/chunks/1eae8a5ff1c103ff.js\",\"/_next/static/chunks/3674ed2e2d611d49.js\",\"/_next/static/chunks/2093e73197c69f8a.js\",\"/_next/static/chunks/ff892702a0da24ec.js\"],\"STDataProvider\"]\n52:T2dfa,"])self.__next_f.push([1,"data:image/png;base64,iVBORw0KGgoAAAANSUhEUgAAA+gAAAIzCAMAAACk88OOAAAAV1BMVEUAAIv/OjpPT64PD5IAAIEBAIf/Tk7/AAD///8AAHv/4eA5OaV7e8MoKJuXl8/g4PK+vuHV1ez/dHP/lJTu7fdhYrepqdj/FBT69/r/y8v/qqvZARRaAVqkw1CjAAAhzklEQVR42uzdXV+jPBDGYQqJzZTXKkX093z/z/kcWLXV2tJtgGTyv8/Wg90VuJxJMtTs9d09nn1uxWbhRaof/9Hd9t68/Pgb2sKE+I1KOVy/RbvnCd/s60se4m0kHrLdbnxQ74Kkngh0X8yfd+4gkNAKfbvdvCilngR0j8wd0FVD3243L6MP6iYw6glA98oc6Nqhb7evGqmrhy5S+2TuXA505dC321d9Dbxy6CJ145U5FT0F6J7W6vtDOFVdNfQpzF/vYw70NKB7oT66fTANvGLonphvz5gDPRXo3g7bwqCuFvpMzFmjpwPd22FbCNSVQp+yBfdPzKnoKUFXVNVVQp+ROdDTgq6GukLong7ULjMHemrQlQzGqoM+M3PW6OlBV0FdGXRPU3B/M6eipwhdQQOvCrrnYVegA13NDrwi6IswB3qq0COnrga68T/syhod6GqoK4Fu5hh2paKnlaetYuoqoMtyzIGuN+59M4V6nNtyCqCL1M0413gM0BOC7hRTjx76bDPtrNEThO7c+5NO6pFDX5w5FV05dK3Uo4a+AnOgq4euk3rE0FdhDvQEoGukHi10Tx8SdS9z1uhJQNe3LRcp9NWYU9ETga6NepTQZ39DDehAV0Y9QugrVnOgJwV9KvUYpuWig26WnIJjjZ44dD3UI4O+OnMqemLQtVCPCrpZdtgV6EBXs1aPCLq3mfa3h+4F0JODroF6NNB9MX96e/BOsEZPEHr81COBfnunfVyGORVdb/ZOMfUooPsadvXA3LnSQEJn7EEx9QigB8W8qXGuFrooph489MCYC86hHiP1wKH7moKDOUmbetDQQ2I+wjyNGDEaqQcM3QTEvId5SlVdIfVgoZuA1uZUc6jHPhgbKHSYEx1r9VCoBwndhDHsCnOoX81LRA18gNBNKMOuMIe6GurBQYc5gbp/6oFBv/3qysh4DIlwrb429aCgB/TqCsyJKuoBQWfYlUB9LurBQIc5CTYmfuqBQDeBMeed85tlzqb17cZOPQjoJrCZdpjfvmV1bRP7juOmHgB0mEcYaYbkrlPUM/CrQ2fYNcpn3vR9Ys175A38ytBhHmvn7lySn7UTLfVVoTMFF23nfnCuSnONE+m03IrQYR5xRe+c61K9YFFSXw16SMw5N7/XeTG6RHv3WKmvBN0w0x575572J9xHR30V6BNeXXmBecjQB+cS7t1j3JZbATpvqOno3N2Y+GfcR0V9cejCsKuSzp3fThUT9YWhG15dUdO5p967x0V9Uei8uqKjc8/64xKrQHos23ILQmemPb5H+PIzk39exj96dysW6oFV9cWge6vm7zBfqHCXVXZxbfPZuTs3XL7T2SFPaw7ehF/VF4LubTzGE3NazgmFqujbqjS/rtVX536pdzdiyqpNb5Ym+Kq+CHSYx7nnVjvnukMh50/Nd+f+s3e3IsWhc86VCfZLga/VF4DOsGu00ivnnOub3J5eNDlZgp2+lG7Elk3rnHMNr7sER3126DCP+Mm1x+d2X9VfLbzN2u8L2hf28zZLXXXHB8Cm+7pLdpP66zrUZ4bOTHvcJb38rt35sYU/+ZpzLpdjy54PX/e5ZAY+vKo+K3TDTLuK5v14X5vSiDnr3J1rxBoxx5b980tpt0FhUp8Rujfm726E+crN+/G5qWqR9vQrvZHis2VPvXEPegd+NugemTMFF0Tzfjy0+PHAVD/vcsmVnrRWX4j6eKQ+E/SQxmPcAPMHpDd3/kzlUgdZ1WeBHtQbajB/KMa291xtGvdA1+qfbxx6hL434YzH0LR7b96vh8Y9UOrD4L+iBzUFx4O3ZPNO437eDoVE3Tt0Xl3R1rzvadxVVPUFoU9jvmGmPc7mncY9HupzQl92bQ5zb49qQ+P+IPXWw0mzX+rzQYe58p33NuOi/0U9oBn4maFPm2nfeDpQ44lboXnPKegPUF+6qs8DfcEpOJivtPM+4Dymtfoc0GEe/zlRd+vK7w0XPibq/qEv2JNwoDaX8/o2dH7EelmrL0XdN/TdotUc5rM8nsWkbfemSOvTX+Om7hc6r64oWJ+bfOK4e38w3IJYGnif0GGuoWsvu+m3oSvp3yOh7g/6clNwrM3X7trPbkWs/bssmXLoH6f++rJbG/r49rRdiPm+WvQWpbQMFVv1996OvrKR/tDNF0xZ5rcapZenm9lsXsaVob89bza3/6M+qnlbleWSt6hORvp9XfvZ5xxE2b+7pDL322vRJ5XfFXx/1x57/w50oKcHXcyh//eLFGX/DnSgpwb9X7v2k52TPLr9UaADPa1XNx7p2iOeRgY60JOq6LZu/FyqJq6NS6ADPS3o5TAMXduP/36Rxr7tumEogQ50oAe8QjfGZllRlvmhaoZuPw392O67oakOeV7WRWaNoXUHOmv0wKu6tdYYMSJibJYVdZkfrjT0zSEv6yLLrBEREWOstdEdsAEd6Okdr/00b0Tqvy9KKWLi1A10oAP9/GS9+vuiVBouCtCBDvTrnwXbAB3orNGVbNENf1+UzgAd6FR0HUv1K+9Q7zMLdKADXQP04srse18YoAMd6Bo69/NN9zw/+2MN9Mgy3g39HehJbLrn59vs55vwGnYunpLK5m7om7Qu0H+pnq4dzpzb8+O2SkFF3xLynf8KjtEbsVlmz74CdAJ0DXtxJ6drzccQ++nJ+gB0AnRdp2vD58sq5lu6hvM1nm0CdJv1X8MxX9XbyKDofI1nmwD963RtOP2IV/PV0NdAJ0BXAL38Vc/PpCs4X+PZJkA/nq7tf7boYjst4wU82wToH2dp++KXZ/MhvaF1J0BXAL1xzrXFhbptir2O8zWebZI8dGs759r6Yn8udevcnuM1AnQFp2ut6+s/1uFSt64tLNAJ0GPfdC+cK//cb5Naw/kazzZJHrrkVw/QpFSw7c6zTajoh+uQJT9Q0QnQNazSr/8kiP875NkmQE8gPNsE6EAnQCdAJ0AnQCdAJ0AnQCdAJ0AnQCdAJ0AnQCdAJ0AHOgE6AToBOgE6AToBOgE6AToBOgE6AToBOgE6AToBOtAJATrQCdAJ0AnQCdAJ0AnQCdAJ0AnQCdAJ0AnQCdCBTgjQgU6AToBOgE6AToBOgE6AToBOgE6AToBOpmaTVu5+8l/Tuj7/IUJpXFLZ3Q39Ja0LdBBIrBYLdKADXXtMfTBABzrQlUeq1lqgA32R5EBfDXrnagN0oFPRdXfuRT/r1Qc60IEeQkHPneuo6EAHuvKK3jg3Z+8OdKCzRg+jc5/15yzQgU5FD6Nzd26gogMd6KqhN845NxYG6EAHutrYrJ35+gMd6KzR1y/o5cf1H4AOdCq69s7duT4zQAc60LV27nY/d0sFdKADfSnPhRF7rXN3rrl8A4zEBX3sF/uXdmtD340evo2+B7qiw/J6yK2Yvzt35/oLL6takaJ59NW2csHURd75eBrfnm5+gMLr5mVcGfrb0+vtT6143l3/S9pDXS95iwoLxzmlD25f1b/K+nfnfqF3F8nyYXx4aM4sFhFz2HthPsHn09v6rfvueco/cIN63xQisthNwvm80M3euXHIM5HLnfvP3t2ILas2puMQI0XVL8X8TzwLr9HHl9fHqbuhNDTUapr3j0atKU9beKlOerjvfXcrpjh0Mx+7aWS+wmYc1Ml5I/5pujvUcmzhTzt350r52n/Lh37uU7eImb+Fteu+80O9Fqir2Hg3X6j7z525Y5k/7d2NmLraxzXHZKSoWh/Mn/99bb7q8dru2Qf1Buo6Svqp6n1VGzGnnbtz+8yInG9bx9C4e2P+9Djz1c7Rx2eqOrmwIHfOdYdCzs+iaimbMzJ9YWB+D/MVB2ao6uR3837cfmvOT4K7LrYXEEJjvupknKeqXkJdVfM+IaE37uExX3kEdgd1cqF5vzUcGXbjvuhO+0Tmq8+6U9XJpeb9aoJu3MNkHsBLLb7O1aGeSvPeCMzvZR4CdKiTe5r33hqY3xqPCfQ1VagnH2Om7l6VAvMJx1GDd+itjw1GBmOTL+ll3I370szHGzXv4B363liok8elN5Ma9zBn3H0x3/lo2ofSyK+lkIeKXoiXY8ORabm0m3c75RkKcsc9pJn2Y62bBbrx9QNt0rn6K9Ny6Tbvg1iYT2lpZ4KeQZ08Dubmznsb3sIsqCm47mvlOht0qM8Xa1JwLnL7Y9X6yoZV0gNlPiv0wKjrWavbutQv3Ug9THk49nlAtzVY5jNDX5Z6MufqUnXaoVux1Tjx4ehKMTC/xNxmi0EPjbqKqi6DK3RLF8nvmXVvigD6d28Has9emMuPSzI7dG9XgMO2z+uZtbo/XH5q137yyB3W3pQLnPki0L31NCOfLZdlH78nfPifvXNtctRmorAKdedVL4hLFgi5/P/f+X6wPQNjjLFHCKnnPFuVSm02W2ObxzqSWmq9orOY6vVn49z8nrzmkUSH6kFFr7O4OundV0fDew/Kefk9WLHrHs3/fEvzaKIHUn0Kp3q2olz6hCtt3kzi3+5U1Fen5Peoo/lTzYsHreviiR5sVA+2LJep6pd6sVqj6Cy2/s6jcUJ+D7XSHkbzkh6mmoiihwvwP3pf/XLWY63ToILU/t2hMXJ+D6f5X9+fm2+f34oqOqrlQiT3Lu1T2O8P5z5Af9F+IPqRmrdPjmlGFh2qh0nu+rI729EFoS84kuYmH81PEB2qf1P06wfWKMvu7Kuhqse2a/rpPcGbrh3raqiKvDQPsaFWPF+GPEF0qP4dHz66DWrL7nzpfc3G+rIYbtI/Wa3pm7atq2ooSm8NM5FIjPW47DQ/SXQcd9mzMrWZ3J2r5IEvOe+ws2EmIhERImZjfdFvfEV7e/vjRMQcKeNEXWn/4+0NtSREh+pPg6xdLXz4/LyateeahIdBSS0NMzOJfRzkKyGOZneimpe0c5vhNNFjH3f5OyvVmVtXFyvD+qxPuL+vNCZfdU7VGVYpNj4zir9MkUGxa3Kixz7ukpXqZKdby+DFb/v5gPZlimuH1jll511oePyJdaeM5llqfrLo4VTfVRj77J1LalnuOpS1wyLCzz+ubjagkXBR984514qq1XjaOODSW/7Bmhfy0id9suiB3r3dNfDPVU8m98p1X7mvy88FNp7XlNyyO18i++WdsLoW42lrd90TNM9G9FCrG1OYAF97SkR1sh+PVVf5y5oL+eVilDHGiNhi/FixUnZQnRffbG5aPicRT/ZkudKemOiJLcslM6rP16GmsbAivPy0WmISKuvZA6gsuBu2C7sKXlw8E+1bLa1i1zc0T0T0xC6cSkR1lkVsbeqSZFkNbsUPyxFP2zF18tMiwojt3aPlyB+ieUlvfZknInpaqk9pLMuR/fKGtF/eobr+8gfU3TBF5cJrNuL7+f5aFM2zqmlPXnSo/tom8upjINrOrs5bA9bCxhiZjfER9tfS0rx4/2qNhES/qD5B9Ufh/el6pL77pWa7a/X1W2zWqOnwgz3J1bS//3qTEt0YEltHUz39ffW78L6JwqthP3fX6o91EylvT8h07P5a9ivtCYuOwtjH0fUZo+i7dIbaj+k4feacIsb+mirNExQ9vc22M1V/IbxrK5VZ7K6N8+oG/vj6Oy7DKNM8SdGh+lvhXWNPh9vuWrusYvow/aj9tcyr4LIRPbHjLqfuq+8N763C4H5beGvv2sdeH9tj9tcUap6s6FD9xfCuMbjfvuU6lvuno7p8A7B2zSnQF3iyokP1l8K7zmZsVDnnmrXvsEs1cPj9NXVz8wxERw38/vCuMrgbpvGB58aw1OErBxTUtGcpOmrgPx7pbRqjtENT63ovjx6N2oW9TUex5smLnl5hbHTV9zQRbgpR2aLJTBuX3ZKMgWcsQTSfUtQ8A9GTUz2u6Sy8qyo457aRjz/5st8qiSHqgraPDqL57yQ1z0L0yIWxz1SPeveiSNHtfHWVUTdPp3L78nqyQbuyKNY8E9GNIfFhVP/ft1UfYl5r8ko7sm4gdfmdn63WmYRE/5Wu5tmIboyIr5MI8NFEZ+HqxWOqpcL8Hg+1o3lWoiczV48lutDu1D7bGLAq99nSFz3RJbgsRU9E9Tiik5RvNRFuFOb39EX/lbrmmYmeRAlNjKtHWWz97mtDfo8tegaaZyd6AoWxEUZ0oeE7L7H2yO/xRM9C8wxFP131w0V/N7V/0leM/B5H9Ew0z1L0k+fqB4v+ndSO/B5Z9Gw0z1T0U1U/do7OtnJBaEvE94NFT3xDTYXoJ6p+7IhOvh7Htmv698uD+qZrx3osIPqhomelecain6b60XN0IiI21pdFMVT12HbNjhc59V3XjnU1FKX3lomIEN2PFD0zzbMWPWBh7CuqHy06G2MME5EIERGz9WVZDI9fZz0UpbfX/0WIiDGWHyx6dppnLvopNfAx73JhYwwzkYiZNmpyhYggdzTRM9Q8e9EvNfBRVT/l0qat5kwjQnpM0bPUXIHoxpD4MHP1faqfI/rGdVItono80X/lqbkK0Q3HXJb76z97wjNIG5tuh3cgg+iZj+ZaRI+7An+K6Ft3Pk8e2T2K6NOf2WquRvSIqp8hOvNWUWyJetcIov/KWXNFokdT/QzRyS7uM6vK6aQ7b36s6Jlrrkr0SKqfIrqfm12LLEyvIPrBomc8N1cpehTVzxD92oPsup0mvPyNGnP0Q0VXoLk60SOofsqIPsy3zWneORj7aweLrkJzhaIfXi13iujV0nOz2FnH/tpxoivRXKXoB1fLnRLdx8/R+/rm8ucnN1lk92NEV6O5UtEPHdVPGdHbr54vTC8h+hGiK9JcregHjuoniM633bVmfkXUp+kFlt3Di65Kc8WiHzaqnyD6bXetW3YQ/miziv214KIr01y16MZIqBX4k0W/bqbddQq/mV5D9LCiq9NcueiHbLadIfrgnFvrFE4X00ecRg8pukLN1Yt+gOpnRPdq3XNjiEbnXIf9tXCiq9T8B4geXPUzRK+dm/xqPicasb8WUHSlmv8I0QOrfoborZseHVEjap3DQdUwou/SfLurdpqaHyJ6n+D4Eqq7y++/ThCdTb+xg0bcZbO/lvYMo/vn3x380/RN95AmTc2NoaH58oP++yq/v/4NNskXKr7uNj6hPTRN3/7xX/wf3W+eRBXb1xA9yKgn/BTrrTHGPvplOdm+d8uf1Bh+lbu/IVGItj6hXb+MsWfUxZXbJ86lrPKI7lQlXcPHH0Zs/eOZIOm+vJWf085f2rN/Mbm+1Dc4y5BnrysPzy12/AFQjww4aAeAeqhDWT4A6gf00jnXYiMQAN2ij85hyx8A5cHdTjiAA4D6Af1SmtUbDOkAqIW5wy30AKgf0G8XVGM5DgDFoo/oIAWAdq5LcViOA0Dv9JxpdkqyN0JoOQGAkjGciERERIiNnXeJrKwxfPtvhGuwAMgY731ZDFVVj23bNYvLAPqua8e6roahKL23eK8AyDauj3tv80D7CQDUmz4V8ByAjOfod7eUrdF5rMEDkPWYLsXTRjktw3MAcje9bLY9rwm5HYDsEdtueV4JPAdAg+kbS3J9IdhCB0AFRI+W5BoswwGgaKI+rC/DWXgOgKb4vrYkVzOm5wDoGtNX5unI7QAom6bbfm3BHW8MALqi+9oUHckdAF2ir62792jpDoAu0VeLZnChFADqp+iYpAOgTPTZFL3BJB0A9VP0issOk3QAVI7ot130thQSqiZM0gFQOEW/5PV+IDHGkPgRk3QAlE7RR3s7qiYyNJikA6Bwit4Us5PnLLbGJB0AdVP0+stJNZKywyQdAE1TdNeW9xfJCFdozQSAoil6tXr/I0lZ4X4ZAPSo/sBn3AsJAAAAAAAAAAAAAAAAAAAAAAAAAAAAAACACKAyGQB4DgDQIHrtcQoBAOWQdQPODwOgHCncCNEB0C56jUu+AFA/Qze9cwWGdAC0J3eHS74A0J/cnesNsjsAqpN7gy46AKgf0C/tNpDdAVCf3J1rUB8HgOLkzh06YAKgfkD3Dh0wAVAv+q2XfcfI7gBoT+7I7gDohW7JHdkdgB+Q3JHdAfgJyR3ZHYAfkNyR3QH4AcnduQ7RHQCdI3o7E93hQikAdCb3ySG7A6A9uQ9zz12LER0A9ckd2R0AlZ7baSk6LoMFQH1yR3YHQOWIPn4R3eEyWADUJ3dkdwB+QHJHdgcgdWtfV/Q+ubvp9ezOgoI6AOLAfrDyonFk+zvRX87uJDwUiAEAxBGd274u+aVhXYp7z19rwsZCvuqw+w5ALMg657rK0/5hfSW5uxeasLGILcYJ3ZwAiDlHL5xzbhoLI7TLdTYryX23tiTk6+blDAAA+Kbp1wG6qzztifCryX1fIwcWsUP7agQAAIQI7x8jdLtnZe7auOEuuz9r5MAkXI79iwkAABAyvF91HQvejvAPkvszc+my/vbe4h0A4NuwLFbXnkT4a8u1l7L7PLIjuANwUnj/OkhvRfgHyX2jCRsJF3X/1tIdAOCY8H4dcR9trl+bJa+xehns18h+C+6oigMgfnhfGab/397d7TaqQ2EARWAkLH4CEkG8/5PORdM2SZO0TTONcde6PMqcczRm4w+2bS5H+KvJ/VJ2r2Os9stPmu7AA8N7fWmeXi9E+JPjX8/uDGfZPcS6HX7Scwf+d3i/HOFPPtxwK7vXFyO74A7PDe/L1Yn6eH3sjeR+fBhsjFU5rld+JrjD08J7NV8t4HkpXyP8jeT+9hG2EEM77K7/THCH5ML7oXf28mauPj/+9cNhsB9b5oI7bCK8HzXXq5s/6WKsy2W++RvBHZ4b3tfbld7MS9/dvhdcff/mdDlIJbzvm/9PcIfEw/sDCO6Qfnj/McEdnh/eS8EdhPcfWgV3SCK8z4I7CO+COwjvgjv88fAuuEP+4V1wh/zDu+AOfyC8C+6Qf3gfg+AOuYf3tTKhQ2rhfRXcIf/w/ugNq6M37pBgeB8Fd8h/Sn9seBfcIf/wLrhD/uFdcIc/EN4Fd8g/vAvukHB4D48J72tvQoeEp/TiIWvefYAJEp7QY9E9pNCXPtq2BolO52E/Pepl3FB4SocEhdg+cmncbh/kd0gutVfDo9e6t/I7pJbad4/fjz5U8jvkmtqPvromv0Myqb0fmv9Ffoc0Unvd/dfPLA69/A65pvaj/N7V8js8NbVXQ/P/TfI7PDG1h/3c/Arv3+Fpqb2cmt8iv8NzyvxXUvtRfi/ld/jth/O6m5tfZqtLlpeSZ7KEH85/M7UfbVPvao/quSXDtnX3Tja190vzHFMZParnNWcsoxFNNLUXXfM88ntmwX2ehfck78DhKan9SKfVllE67JumNaVL7Re3qpe2umQzb3RN0xnN5FL7L7fU5Pfcr6gwNc0ku6eW2v/HpnNL5f54cm+a3l07rdQ+NumwVT2LuWPfNLJ7Yqm9a9Jiq3oGyX1sGtldapffMy/0wze8ZPdUBqRMsMybplm7SqVvPrn70l46r0yWadrNa1pVPu+maSzNBVtO7ode7WgUkxmSuqj6ttx33bCM0zw/awqfd+MydN2+bPvKhoitTyBvX9+V3ZOp9LquQ4gxxhDq4rXol2X8hYl+3k3jMnT7smz7onj73wi1Ot/MK56byf1qdtdYeWLFH2r+reirvi3Ll4l+tz5w6p5Opu4QD/891b29ibsdqnjptWl8W2V5KbvXMVadR7Nkiv5Q8zHURfUy0Q/DMt5Z8oepu+2r6r24VffWE/quGcqP03qo5vfvZIePk3k5rGul0JPM9oeiv/vryeVrbQvmOSX3vmmaqevDaa3H8n3gT7N7iKHvpqZpetk98Xv4vTvTDGyWlf7yMD7uTyJ8PNoftYSTyL4fXQ6bGNjy3iUwRjbLuBcOq6fnoaxfp/VwHPveMnqIdTscVm1MQajbxB38jmWtHsnyDe+H6n2N8LE9Hvl9LIqifo3sh6ab237q43rvuvipcA/P/opYl7KKsY4nW56XUIdYlMvqOW5Lw3rv6RSzt6y5hveTc4l2QxvDybLquY7tcPIbwT39Ua3v3tBqiVT+4f3wlHZ2hslwPjkI7ukXenH3HpjS6HqcE9w3IvT3n/xoeP9GeP/0bU2Q7dIv9Pb+LeYK/c+E99vPcC6EDQzp/u5CX4yv8C7ZZfo4pr/2N4JeGAX3vAr9/kOhd/prOYf3VXDP6rXLzTt3N+mv/dEL46tRT3DfRkS72V3bx37WXxPeBfftD2e13rpZ17Fdb90H/AXmHN6/Uug+xraRQm9v1vn5doaz/pqbedaV3mmx5lPo5Y0xrIvi5jbWRaFnfW3ET8P76Lscm79rD68PX9crfdRey/nSiO2n6+OmMprStzGaw9XZ+vVeXV+tdP21nKfzr31028dyNzKe47XJ+vi8oL3+2t9Sx7r74lGCa1f72Fb6A1pMV06PCSfDvvfK9W9N5+U3drXI7xsY0erifXuq49kNvtNfk9qv53cfy019TPuv1PnVSu8Mb4ap/Z6PbvtYbuKFXn6pzouivvjWTn8tOzHc9zXe3d43mVIe1u7Su/R4Mc8tDoL9C6n97pPFRvk94UIfvljnlyt955PnmaX2+/cyyu9J38E/FO96ddfhhV0Oq/5aVql9v2t+ZO7k9zRv4fV5F2W90TELHw+M1V/LKLW3Y/Nj8nuahf6hu3azcj9Wuv5aNpdCvzQPsbTie3p38f57O8xDNTl1INNCb7thWMZpN9+d23fTuAxDp9ATfCorv3mSRDyrdBtV86n0GEIIdVX1bbnvXmr+09Ok1pfq7vZl2/dVXYcQRPcUZ/T9d4N4rHb6a1nXewiHz97XRdW35Y3FM13Z9lVRhxBe/wCpFnr34aCJTyv95HCpnYNgcy34oq7rEG+dO9LGEELtAthCoS8n8/mXxuyk0vXXcn+46xwLmcFd+7i71n11scPJQcD6a5kX+uADHhlM6EcP3N3XFzUdHxjpINjML5EbvXUvaDYziu9z8/CNxYv10YOb+Jb5k/rkSz0Z5LL2vc6/dXd+b8vpr2We+U7a6utJv212kthWhnH/9rT1vSF7P3Jm1FTJ+go5fene9hZAb3IYu0sHR32r0sW3vDNfebrO4vRMMS9otlLoy4eDIL9e6S83iVV8y7rQ92f915N/4IChrRT6eG+dv1d6a7BzLvThvP96XOk+07INdbFrmmaq7huuw+FS4lvOV8jRiqpD//X49ED9tY1M6P16/UCZr1wFg42qmRf6+4qqt/7rUaV7QbORQm+bZq7uL9QQB/Et88w3n3+g6zDs+mtbegArm7n/SZ2GsOiv5Z35Lq2zeK90Ox228QA2rP3P5uMQxtX2payngkv917dK94JmG5W+/HigQrH0Cj3fQt9f7r+Gw0s6C6C34QGPWKGo/D3mW+jdlfVUh0q3AHojU/oj/h0m9Iwf7pamaaZL6yxezv7WX4MMCr0em2a83JcJxdg0k9s8ZJD45uvrLGI16a9BBkJ1q/8aq1l/DbYv7m/2X2O/WhcJ25/R97f7r7Etzeiw/Yf0T+rYuzgAAAAAAAAAAAAAAAAAAAAAAAAAAAAAAAAAAAAAAAAAAAAAAAAAAAAAAAAAAAAAAAAAAAAAAAAAAAAAAAAAAAAAAAAAAAAAAAAAAAAAAAAAAAAAAAAAvucfcks8Q5Kt8XoAAAAASUVORK5CYII="])self.__next_f.push([1,"53:T467a,"])self.__next_f.push([1,"data:image/png;base64,iVBORw0KGgoAAAANSUhEUgAAA8AAAALQCAMAAABoqemGAAAAUVBMVEVHcEwWFh4aGiIVFR4VFR4XFyAVFR4VFR4WFh8VFR4VFR4kJDEVFR7///8mJi49PUTz8/SgoKRTU1rk5OVpaW99fYLFxci0tLeNjZLV1db9/f0giAQuAAAADHRSTlMAXhZ4yizysEST3wdsk0NHAAA0G0lEQVR42uzd25ajOg6A4SacCeEUCIf3f9Cpru5Za3clNjKYYMj/Xey5m7WnJ2rZkix+/QIAAAAAAAAAAAAAAAAAAAAAAAAAAAAAAAAAAAAAAAAAAAAAAAAAAAAAAAAAAAAAAAAAAAAAAAAAAAAAAAAAAAAAAAAAAAAAAAAAAAAAAAAAAAAAAAAAAAAAAAAAAAAAAAAAAAAAAAAAAAAAAAAAAAAAAAAAAAAAAAAAAAAAAAAAAAAA4ENcL2Hi+X6axnEcxN/S1Pe8JLzyhwO4G7mh56dBlqtlwVckE8eAYy6JH+si9x9RkBLFgCvB66Xi2P1PFMd+QhADBwze/wRxyJ8hsFP0+nG+WpASw8AO0RvklmTEMPBOVy/Orcr8C3+qwFuEaZTbF3jUtIDNJXG+kSwlDQObnp39LN9SnPBnDBw0fL9P0oQwsEn4etuH75/LMH/WwEHD9/syTD0LsOqN4fsnhPkjB2wJ4/zduAsDlk7PfpTvIGY+C1gvyfJ9RPSFgZUucb6fiKswsIYX5bviHA0sv/3G+d4in/8bgEXCLHdAQBIGFvBzR6TMdQCGLnHujIymMGAkWVG9Ksqm7Ya67vvHl76v66Fry2JVEqajBGx+fC6arn5Ut/+Yvv8x/f6PauyHpqCjBGzsmi6I3fb/oTvddKrH0CzrKJGEAdH113hfXTOM86H7NyV/ZePq0ZUkYWATht2jsuurm7l73ZCEAeuMhq+KbrwtNE1VXZKEgd3KV2Vd3Vb4OnHfh5IkDOxQvlqRfP+5EfcNSRiwE7/xm5Lvv9fhriAJA6uJy89FPd3s+boNDwVJGFhHWn4uLGbfZSFMEgae4ldWfi4G2+H7d8KjLkjCwFLC6ef2ftvIVHUkYWAZT5Z+H7ct3VueKAELyNq/X6fnacsAnm4Pg74w74SBP0Tt33K8bW8yuAqzrAP4JX2834mLV9XY97/fALfNb23b1f2jEhek7/LJDjZmAbLPHhW9KHQfdad481uUbT3KwtggCVPLwodnX9k3Q5v54nPVt/OB19Sj3WIWtSx8sDCVNY+GmdrVZPDCt2wF7w/7kloWoI9e6Qe7547Pj9Z0U04zO8xl0BSmloUPuvFeL5cwTDw/Fr/71VefzV/1Ch8zjSW1LOD7oht6aRwEWbRk12RTWU2+8hdN00AtCwSvl676wkKnuf4+mnyVYmYwcxT/92cco3HK6A3WhVheq2evxpXh+2e2erQz1sHzBpxOsv7rCurZ57HN7dCHsPxviZhqNE4VvsHq2CpGVf6thtwe7UF6qjlG4/OE68M3L5WB9Shzm3RvjKfpXnKMxofdfdN8w/it2tw2Xat5kpejGerAKU7PNr7sq2wfWU6/kmFNcU+YfhKOz8qXfdtpdXfWMAnXNnrCXIRxcFcrX/btVO8MmnwzVpIwF2Ec+/ob2IglVTZ8FPmWdI8mxEmYizAOHL82rr95v7als7hwplu6Jb18cxHGR+df1eq6qcu3p1v8IS1/B0Qwjnn/tRG/qvbRltdfaUeplx3hI0pZOCIb9SvV64WxzN+k1Yx1CP8WoZSFA7LQP1I+/t24fCVMwpN4qoM3wjiaxEIvVlUG7vO3Uo9Hi3dHp/wgcKwLcLY6fKvbXuVnk5uwsJbF8yQcysr557JXNmGNy89ZkKa+5yVJ4nm+nwaR3ZvwTVbLIoJxoPwbrjuzPtQv9yeTxwtZ6iXPXZxL4gc2b8KyF0q0k3AcKzpI+iWRlbh9FMWeon/zOxeaL/fRJGHZ1koiGKevYJXD/SulabasS9tHgTd/ZE3iyNJNWNYSzohgnDgBN93sknVh/EapcHbiYnaWVifhSdSYJoJxsgRcFGXZNL+/OPb9qSL9NxemUdb+TU3ixGhXl+aTxKK7ORGMI5iLiaId+vFeTX97qbORa1buDX+ZFXxDkxDWTEfXRDBOIZyJ3seyj/WKpp4WfV/MJIQ1n4aQHBCoZMF5/uKtj6vLz0uf35pszVQv65DMRgf0g+G4bNlMk/6bZcVW6fePqy+vSKuXdUiGTJjowGFP0MW4MP2KGq3r3s4b7L5V1rImyUWYuWgc9AS9NH5l1avVT34MkrC6liW4CPM2CS4LTJfjzH3aU3T7jZL1/+aX2EItS9CrTviRwFkX4+WSNj4KaGmDq5etr2XNl9vY0QF3Kac4impB7Uo4+mytO2PwGQn1XNbsjT2jkAVXpbYS8DTV4m8gWAwI+ZcklMfo+RfLMb8TOEp5jzRsAN8H8d4cu3Xda7r+GN1TyMJBqUq5jVHfqDbYOmk9GOQdJcUxeprvW1PIwrFqWIM8evvWZGndBjsfr/7qY/RcO4mpaLjoqqxhyXrA01ibbXyONkllV3ESVs2WTfeCazCOR5W7CkHs9kNjui92s46M/Cas2l091xBmWzQOVMN6dQWeqqq638dHXw9ds2hV+5Yf8Ayl5ejXHy+e3ZVFNxgOyoRNpKq0sJx928d54iSsGBGdi2AeJuE4Naz65xYpC/uaN3/YI03Ciovw3D2YZw1wjbiGZeHjgm/49q44CQ+LatEconGQGlb+s9Kz/uuC75mFkA5mKTrC+n4wh2gcpIZV/vxlr70BR++ahJA+UWoUEcxAFk5Qw2p/9licLl/9y5O9Ey7u5nPRVKJxyBrW2g8Mpm89ewqnOl4Xo/X7ZgN+MzhCDevnEpphTfhm7x4klo5WPl72g0vGOXD0GtbPC2J7mPRrVMt62U7SNpMiZqLxUTWsbJ9r41VWy6qNC1nMRON4NaxqcfHZ363zIqtlvYzggWYwzlTDmh5LT897Hjhltaza9BpMHQsfUsOKd05Wsrms2vQaTB0Ln1DDih04a4qO0b3hl8+oY8ERgbSGZfx2MErd+JWLjtGvukktjxrgumu0UQ0r851JUpJj9IuZrKkqqGPhqFfg2mhA+Ons7NYCOMExuqzMFlXSSoILUulbwsEk+TqXngRDHe2LNTsNOypxzCtwMS2sYUWpk7/sy/xFeDCrRNNKggO/61y4D2sS1bCyNHH1uazgIvwwq0STgrE7X5qOBG8Jg/Tr5Ozwc3dvtpD1fA2eNIfojJ8PXD1BP2Uj/VvCKPYT9zdVJHOlrBdrOEemOeCuMJdegZX7sIKv2A0PsmZmduFdbfTZQj5YCFdP0I20HnusUs5sKeu5G6xrBpOCsa9Mmoqqk0wkzb0wLCeTOhYpGLv+mkNxJurPkoTmitEvDtElC+7gJuWPubxNwptgeJ7/0apD9IM3DXAzG0XimQZVForO9NeWqhLdkoLhInVjdJR2gQ85EZwavizUzGORgrGfIJc+JezPlYFSw3GOjmeFcE8onwpuT/aoTluLbk1aSaRguJeH7tIfcHTQPspV2w9+WvY+DdyCcZwS1lMNuj/do9hLZFTH0qVgesFwrIRVi0/Qxx1FSozqWLqvJZGC4VYJ62md3VSccK+Mb1TH0qRgxrGwxwE6lBdx+jM+qNNegweTgUomorGDWH6AbE/ZQwkjk3kszUID3gXDpSrO00vC6qQ7KTyTVtLUs5oDh7gCDuLT49ELsLGlFMx2LLz9BhjJf7rNWTer6g7RrcmOWVIwnDk+PjVB7+f93fom0xyaHbPsiMabZeISlnoK6fgjDLpKdGOSgvlMA94qka+kUN/9TpB3QpMls5pbMCkYbxWIS1iazwKfof+ZmqRgTS+YJw1wI/FU4ibwKYaAdTPRJimYV4V4o1hefL2f/DerqWOVBhPRPGnAG9OOQe11OHvvJDN406CZiOZJAxy4+DXyU+NZBggTkx2zA/OU2J1miKOXb2Q8TcqJ7aRghjmw+7XvOeU0p299ap5lvbgFd3SSsPcvNpO/5L9/wvxvbFCIvtNJws48g3fs3Sc8gg1NesEtnSTsSz3E0cmvfKdqm6QGVfmRzRzYVWLwhK7+iHRz1UxztAZPGtjMgV1vfK3B5NG5pvdTg7/UHjwL/h9717Xsug0DI6vLsnrl/39oXE65x2YBIUoiJWAmmTxkEkfhEsDuAqSws+Gb4eM3BzurkhT83law21luNQrHkk1z4moxpb6CwvVcM8D5msM5f6+RCWaPaCyKtUNi4nh/juFUiolP2hqFC5nGiInjgM2epDL5mJBuicai2CnMmDiO6BpMyV9KYX/AN3Gczbd/0RhpGInGotglQo0EXJ9sck5nxrI4DbtHYVUHnMLlTomJ45hUjY5APhGNRWEXU6Nh4jhqljGyZ4jm+inWC1/DxHG+/W2Jxqa/hub6KbavoDO4iWM44dyrBsM30lw/hUUp5nPzxBnHXnW23RekJFHY0+Sd28QBSMEDnMYiJYlindDQkE66+skzQWPRah2KdSIlEweeJGhptQ7FzqHxIvB0Urcv/NVzyZNREaVgik0pmg7uNDq4UUEslJcaOhs90kCxKYX1buJg42kXt8VwGqum7XYUWyYXIyaOoyeXEF6mVAX5KSlsaO80nlM5fnsXwImCnsaCKSw4mUVFBOtveHCqXqIkkZ+SYrPasCcTxz8hXo5VMPhFRymYwnCkJkrD+NQfaoQv/SM/JYXhyMAU1slf0AyNrN2lkQYKo5HA80p98sIwgM9MD5SCKXYuDD87u/Lk6gjcEC17pIFSMMUmFXQPzyon8SdIdrxX8LFgSsEUmzR2M5xaPYtDED70wSSeU0rBFBucyQ+Lb0UefTOrO0kLptiggv7IKfRyl4zGel98wCSUPWnBFKbiAheB6e1M6fMVDC6aUwqmWP1ENnAK60Q9nWSuf9SwrVEKpjAUMXgXVkf55D/5E47wL0ZDSRSGMkoEraAlT9+equXQeERZkoJpLpjCSITgfDLSlgl5ycLxU/aUgil2qggnsLn3ZHuedN5JkqRg2o5FYSJS6GGsSEP6igC+mUOWgmk7loEG8BImnuf5r/C8JAnPdi9mUFGkJg3pKyTvJH0ob61YC47IULkAtX4aBxmfjsiCOPWSkwD5Ak4mDSkiqkuP4x6XpWAyVGqd1Bdq40BMIr7h+A7j8PBUYQIVNStiY37C0/BTSlIwuTmAqH0k2xwXUXBH8Sk5rArKQZ+QjJGYOSadFExSEv/zPlDrL0DtZy72DwviGCoidVQIAq49zlShxBFNPNYf1Eob26URHRTEEXQ+vaA68J/KLtLogieSkrB0lOHI0uRoNU8I9FEy4Y626JRloHgsuGg1hpJOWb5sjNr3ROwd6tL0oCrwRCLwnxScm0nB52EAtUnk9SI4EIZ9qArcUAUN4g54WrAsBR+5iL4829pFJPJ6efh67HP44eoVncHopN1bqJOCJduxjllEh55vQ6qVYjg9ROoJgIewpQoan4IZK09URCe+5dD95bR898ufCGjjGMnF8X5Ocw1H9CA7Rgcqoq9e7Ah4v+sfx9PwBcphCd0I59VBAo0umHUyTuUoPH6SuoXeA6ThBGpHaMgH/R6eTgqeZWfoGHaOJMjdjCgND3cISyiHlZ4XwLIUPOsYKg/B5DsL31cecvX/QAokoVtqgRd2wTIpyf3BwjDOHY/MTV0pBpLQA7XAeil40JKSHCeyrn6Uux+Ri81wADNSCof5ozPjV5aCP7djSZ4bdZzICrP8GBGlzkEYqiL1ZOXVTMEfO6Jl67Gc/pJelB8nHOOzrlASpiEOSzMFf072Sy3Rzn7Ka5ofK5yCcAhVkUrisLQ4hJw32S/1Yzn6La9BfriIQ+czSPF+9GiSQT8Ft3pisJMf83JA/LoEYX+pinT61caxjpSkKKLdE5MuWX7QcITOSoFnbyASWrcJ4UpJiiI6cwzBVuTfoiybruun/h5d05TFmSAcA/s3kYqUnR7AshRcMt0i2i0E79j/FnfQ9nU9zN9kzT+fuprHum+W4zjy7Zf2oDLwRCoSJgXXukW0WwhO90DtdEdty35A+3lH/rR9w7QUxZn1EI6AxV9HKhImBXN4LLmdwykEe1uidvxGrQyzHBSPfXlgg6VwmLAFnjraiipPwRweq1JkBWeYrEu0PmqHtroxpoNYTlSLQJx5Lp49BuRe6GUBRSXJ4bEGVevlxkddoQF+wPYXtUtx+zcT1x26nLZ4Ugk6TCiUgel1LkUq4vixVG2wIwj2jdJR4w8dxfRqZI1EPKATsbUQBsrAjGRg9FnmFNG3TnVgHPBkhYZI5C86ajXY/tlMdht6ZB621NlBMrCZajLTKqJvlTITpLazn5gCmksirw7bdxSPyFraSggvlYEDAu8zklyviG6VZyi2vLbx9UCLJZHXqaXr5ihTDhkNE5qJQLOIHtRtV+jqjfVDpPT1XN3sjBlXSltnzoKWfSQDL+kIR84JqtU+IIupLLUFuhltxe5PGsYwWpZN/INl4JJk4AVSEs/OoaSirW6EFQuwir69ORBzh4GwTeYs6DChcCUlycCgnNTw2r4eoF5Y2ggrLFiNE/B9chFT4TSEoTJwRTLwskPd8+hQwP1vZxkdyi1YE7u5E6hK2hZ/5RU6DSwcobkScGFl5cA7OxAu1MIyWq4gFfPNrWBjg4Gw1WeuBy5EpWFCaF7itsEV5PLPrEvC0hmkYvvyuWqHsa6ne9QvG6Z2DAgIW2HOWrpTlmRg8MEuOeeKgRAcWZaEPSvy7xO1U99x5veLspvGWauOZ7ObEKadskZLS6m20t2wOdguJ658Bqlet9ptZxFqP6+Spq/hKGY3DIT3Nmct3ilLKhKI1Oe7257HpoVRKPaoj/IGuFsHtQMUtR8o7jRAjFGV9oUw7ZTdsojm+jmgCLZmKNXfqAGu5nuJjEPtRyquYT+LoQrpHe/WK8nAmxbR/P6wKt0o1yBFRm2isTWC2g9X58AgdTSGztrRnEU7Zbc93/wEVTXQg7I/mSW3UDZsCR1VlvmaUfQD6OeM+j9jN2cHDRNuXESXXImjgvZe+9fRsakCutKgo8zl4QnyC1ntDIShw4QkAxsqovOGi2AGZk925qPlFsrBJIm8FoZrgExc1fq/bxdzVgZrZRjtlNUgBuU2w45fZU7gg7JnKyz/b+sFoB3quu+7PVH7RkwDpOpqwkDYGhWJhgnXomlFx1z++LclEJYrSJwl9rd2auxArX4axkB46/ooBA4TMpKBjfWJwkQ1F9ZDWNtCWee2hnrekd3aXv+fu+3/GVKRdmBquYYODUH466Ds8Ok9XZG7zW0OQCXdWu7soGHCPbQkIYIrreOy+aMfcgtlt4Sa2ymaka0B4e1kYaiKRMOEZttgEYI1S84o3TINKxrgalFbv18zzFawSG/m7Fg6TEgyMLINFiCYaTXCzzS82Z7Eq1zgnjGLNx3hszDmrG3KI6CKRMOEhtOVOAezSvuwBGmy3mG5honnp2kcKF5B4lgoWZO7EQUAwvrOji1kYaiKxGiY0LQafK9yRLXbpH8Eo9gzWrNdnrCNgwz6eBnHQsmm3JlQQZih/JXry8JQFYmGCVcgskSOjtttRlmCs9gPr2ZhC357kKcgDblLUah6YZS/cm1ZWHjGoC8T0jDhAiJL4Kp8lNE98hhGQeonern4+gPbBcef8wBjVeRuRQmAsP5/07qakg9UkYQvE5IMjLY9yBB8T19Ljv8Dxp4Cx3fcLoat1JnS5c5FOagIaYw5a00IA1UkeplwJSIrL1vRYHm1HABREMd3JHvJPcLHnxLP85+EFLy3hR185pIFS3qjKqcxKsSDLOtpSqQi7Y3gYhDuhhhdqUF5DfCcOxqN0p2F8FeupikBV1IyUpGQAFY/IMTfsvN12btx5kf8jhEbQ22wRJizVoJwBuQkOlKR1hKTxKYsnPq4w4HnPBa6+dUTZUGcpq8GYXFb3ymH/hHL79bQlK5LVSQaJlQT/WoEd2IN0gEtlWOhZFtZKB+o9X0veZPPrqHnx4tgrJ5UQvgrzWtKF6CKJJxFIhXJgBwsprKwXvpNY3ML5Rc3l4RPakhcmV6SNED/S4q+UjHSiPLINCEt8nEU0FkkUpEAZY4HOC7jzdU6uubQb80aqA3+QS3swz/+wIO4mJT+SoQ5yywhHQJlYFKRFoUHqdmYWf/AZqQtM2IFlTS2T9QuYYAuXowTzdQWaYQ5yyibJaruGqgpLqBpQiOWrFzxoK61fPQKFspv1Ca/qF12yq4PDAdICKvMWYjld5G5IQcogMWcREA52BSCpWW0ra0wR8VGWSijDzrKdGq4+CgMl8qJf4Q5yxiblQiFAbCrJiMEm0JwLudNbIRwv2wJx0v60Wpsl+ThEFVKl6OqjkbUR4bYLCiAZapARkt1jCFY6sVlqJe31lWQMBbKvyTypnTiPQ1jxKVGaZFGXK5G2CwPVkLLZb2IEGwMwfnEjD+et20DLLdQpsvoKCNJK8ZAeAVzlgk2azGJ9folJCaZ4qLlkvDLiGsNI82zccstlHZwnmGKqKRV5izMs4bLW2GojKRyphOCQQiOTCThW1XboQvzHlpkvRO12mUVCCME+3hhHX0BGjluqlufHFmgggd2bEplvTZYUElzS4XRlVNyxTTDSn+lvrMj8lYB8Mfr3soDQ6t1DCI4V9v4qnrnhXFc/7bcQmmXcR4DYaU5i+l7bpYlYdE/ddbe70sIBvUswEOjlC6ejw7tVkoXHZeXlVsoM9tMP1dvBQjry8KLkrAoI3ycH/VZocEkyJm5QN0EHeQZ23bjPFyUTTfVQ4uZnLJRrEBBWG3O6rdLwgFQCIYsWIjJVgk5M7Gxu/5Rsd2qsV87EZdl10/1OLeKkzs4WKJdfX06S23O0tWUMjQLnAJpaAZZcUQIXvTNUXX0E8XtGiC+J9s7bIe5el0U6p8ht1Bau/oBB2HTA/8pEjtCd0GLWVJGxmiDgjDMP/CbiYepK43UyH09PmH7jVoG+w1yotNmx+0l1f9Q6uV3mq+xBLgOQzhsPnEmpwjBG5PR0Fb4C2d3FM91j3hO+xu2bfV9HSCidtgpEGIgPJvVlHBcllBHKnEvyJMxGnZg4IMxkFb4nUSZxzuOSxBuH5SUZqbFNMDWM5whwmCpvFw1NSVUCypk4Tir9m+APaeEYLNUFg7CLzC28zDWU991zT3K5hld/+Cj7jVyW/35e5eGfA+9C2PjGAirN2dpaUqYMjrVScGQ5wLIGA1shKN1IfzTHbNvlP78hRnIahwMR8ZdEv2BYeXmLD1NCQEeMaHCJdpmQrCpHBzqSJALILxBqJZQOmO0xUB4Uj1rqKUpaX+qi5gq5/6wtlzhR5wzLrHeXd9aC+D6OBafVZwdOnNK2nK5+M7p+ZojIdhY+JqkyWwlfFWPOGVO2QP+Z+9a11zFceAhEAi5cL/F7/+gA93TM6cTLFvGGAeqfuzOzn7fmUxCIalUkkzMWUpnh2DMKaX2HqL5VpfO0QwYozWFE+bDUvXCO/6qbhl/3L4HkykH5VlDhiDNZPCZN/A5Mbiy/xo5bCWcsksuvzLpYtjhy9zEnKVsC+sPOTDJQ1Ri2fzDorO2LIWtUlM3Yb/u89IbQUtjp+pnXs8ymfhXtoW11Swegylj3/x+F6HDYBijV9GyflJpHzj81Nju87FLS9egsPbWHZaIdIvZDNbavY+d72u0hP+fyC23zKXFU3N+4oN7iiYWaUVbWPvmM+trIz9nJonBMEZbLLlMgvD0dh2ejjWtou76sm2qfCVBxq+fxcScpWzY6xk7WInLiQwAEiVLh8HY+b5m+/EnEK9P4v9oy79A8OlZmAmFVW1hrTyaJR3QqUImUcgx2rB1vvbzA1VDt0JJXDy7yUhtQNvP7SDNiYx8c5ZqWljr5jOnDL7RNZjsZo+OMRoMXlGO/vXQNNJNN6zatv6hrY2dAPsw1RpQWDUt/FR/vTEnfVU5gnqJkAFjtN3u4+Jx/Ko1ovFI22lsaUmw3bWdx6DAUbjmRGs1ib6pPmAJBntacc2P+U48LuxLUjwkO3q3mlCYfpOqzZWc7PWi+sMGSWsaxmif8ujXtPp7rdU0/vuDvi/LYWiXlbYrjqd7nB6xe30KQVplIbepY92lB+RrGKM3f1D8xO6MPCcDCtOCtMrGxgnByiT63ggYo33Xo8HflX8ZNoVpQVqhZbF4c1YrawUY/Eml8KZI8XLVGXKg02iWEK0xmyphMIzR9vNog86FV9hr1WRkzqLULLolzJOP1J9MYozWkMTBYHbnIgJ/d5MfUQ7p0p6OH5kyWGu0AbZKLoWvH0rfnXcObwbODkLNEsQ+3pgX9jTubkmM0bjaAAr//0Of8cvMxL7OZCMg81V4upoyWMAYvcrL/gMpfIxiyeCXaaR59GCtFtFgsGRRlsDO93Vw+SxFOj6MbYffsM+kLaXKmplNh8ELRhtgqzTRPdPPsXYkR6qTbuwfRhaEpbd74z9rMLiUfAoweCWcws/IpKOj/bzstrBsNFfaieXXIzoX5AfjGSkYo01LLv+7Stcj/rbsntJsR0muRBtUnTdzBmO04bhh+BoetNPPpXA+JwMXlmTobwZrfCKZMRqjDas+K75Ww3F63NqI3xYuGTKW0feqs2y8WWCMhinL/Gm5JP5xOAqO3uJn9pRmyFPZTVg1GLzAGA1LxzIOpx7l0lF6wa/Jbgu/OxobyxWnxnKXvDA2RqMhvDSXDrfXtOIoCUHe/ynMagvnK0dg+lwDaYwWDw0Go520XNMK0k1IfI2SNAwuZ1D37Rdh9JTeDn/mNmvgZQzWMkaDwVYemUsaOSmJY9DWriD9mr2KzF4b6QcX9aOxYLQB+2atlcRhcgVtfaFwZBaApX3gJV+9DoPNd76DwTZZfA6sxeKxtv2mLZoFRqzRoHBWaI8zLPoRNK5PL9j5jttnNhn8nVGHaXKNTWmbgrZWfgm1IP3WCBayEvi6MCEwH23QMEZjUdZalXGQJpEWkZEkr8JhhSBdCe1hhqWrtXWM0eW8Fq3BYLgq132OTudLEKZpmoyIvjD91Rhp0zAMJtbe/grfgM13KClIP/XNE4tti6c1jdEog10k1oq/A6wCQo9u3qlyt2mFfvnFNZRx453vEX5oYJ9SFisAS50TsYUX7pLRhgpJNHDI1OdqJwDbuS5lbIwWQsXgK1I6YIdIOQFYPs1va3IvNGWwerQBIRjYH6grJ9VD6ErQi3xYXAYb7nxHCAb2l0BHrAq4cqARLTBGDxjvB44FKt41HN+xvfz0tpox+orfG9hZAk1x5S3MFXK/RGzTXrOAwbQxGr1gYF+IWJ6JwZVV8axhzevmTVldDkMlcBQEnCkGITJnsW2BMZpqCCOHBvaEU8ziB1FgJtY/mvnOd6ohjNF+YEdIyBYSZ42r/eJygTFa5MihgYMn0O8KltMA/Edv53s7T+A6gyEa2H8CfWUFN0KCXiczXWCMlr9r4OUA9oKUt8a1dRuA/yzY+S7kSTQaScBOcOb1aOot2qvGow0l/NDAzhGxPFjEFMOaypDpzndpvg8VC9i/gvW+yE6+itKyCYsltBHG6AYqFrBrBYvXAiY6MytnpRoMzmr9HDrGTw/sXcGqWEMCaw/pmRmjpXOP+OmBnStYMwGtzjYckzfa+V6gjwTsGAnPodhsOiWvY4weXhvC2QrnIwDAD1xYm6ApBcvJkLwOg2vNA04gMPD5YK3hIE3QbtbUqI3RGSIwcBgEvAGBYftFcUoGv7qixR0EBnYKapFsLvQFXZdtVZUxutb90BCxgE9HyPJQUi1gh/O1tytrsBB9YGCvoDwc7x5KQe2JS9x96gtpxhK6oxdwYgGfjpTloaRawA5ne+gNHe/CW7b9KwcAXAfgmRZw5ceOuIS3maPDSg7geAF4RsGi1rTG7hTdgJdAy50nGCcEPhtnjoIlqDUcDslAjl6wrJ8Y6Ac+G6xjwJSH0qUeFDGXU656AxUANsPtzNljJzo/zhyQY/0zs1O1D7I5ALgNwC3LQ+lQDjozE+j1b6ACwDa4sFpIrRe3Oun9sjP3GTocRwJ2iohTSlIeSoceLHKzXfPg7L+FjQPYawCe6cVUXniwSAvWTNpACW/IoIG9BuDe0xYw7YHueQdGMYoE7DQAV6xLDA5bwCnztAr1saFBA3sNwB1rCjjy4Z0zuxJaNF7U7cCxcLsEYRKNuEZJGgaX0zr/EE4ApoYYYmdiLmnBmrvx3fvhPAGORN70PTJekzQ4227URJxxnubugxbEnGGgZ6fggwbsp4ipPMbEkU0WUwG44a3hcNYC5s4wULe9EYAB68E3UK9b/GLx2gG4ZrWQnCXQpAVrJmsglw+gAgbc0/eHxUm4uC7mBGDSBO3OQ8mdYSATaEjQgN3kWZu+/9XF4ZKEmhOAxeaLZCfQMwyCt70LLkrAJk7p3QRjQm0Yii+cbmrpQybKnmGgGl9YxQFsGn5/xUCTqthWAHaXiSa8BFqQ1u0rBoEBR8nhKvk0JwBTWpA7D2XAnWHIoWABbtSr9G4Fk7SlS+KIkYxSbkRnLWDSAz03w9AigQbcPJrJ3SLGoliDxKwKePAhEw2YFqwOCTTghr/R3TbUJI4YwYwKwM4yUTIAv79z6O17SKABT+PvLxKf7ATg1vcp4Jw3BIwxYMAiVuIvHYkTRgCm3BBnL74m5gyDQ+snsHuE93URRzPClq0A7HCPncUZhhgWDsBFZmiPxEl4Ng/AXlxi4J2PIJ3bSKABa6DHW+2SODjZDsAOmSCXsLL3GQbSOIYhJOAzCmB5SczpAVMB2F0peWbNMDyRQAP7SaBfdOPwzDJh+RGAU84dBnqGIQqwyQ6wg9v17hk4AdilGSJizDCIQcM7DhIDyxH4xl9WAHa4kObESqA1ywmQGEAA3vhNN+OBpmcYlk9xAcC/CL0PwJQE7dKNmDL2QLdOtyIAB0b0yQE48uKbYh5AJdaMIZ8GLEvQ1dA/n11fNnl28AD8R9Ytz3nnI1Sh+IJQDOiD7AFnw1d1J/7dLdG3VXbcAHzSNlGSdxg0WYxYDGhJWJQJqykebwbBemUWN94GYGmu8mTNMIDFgJsMOpu5sfcdjcWzbHNnAdiXu7qyrypjzTDw62KoW4CBsjq3ofxFqBnr4gNVwNIuUs4aAjYLxmmAaAzM4coZb30JxUKIKaFeNwD7c9g+1Ev6RbHaSGYSgsfAL5wZoVBGZNEN1qpijwOwlMDtGhUwyeM0DM4gMkCVwHMLFikWP8vGAolZm7BcD+SleiK02gRticg/N1+dlci38yUIwjQZEU3/Mf7TkRFsjJDh7lWiXlwU9x4HYO0IXFR3txhj8heVzytw+XYaWRumaRJdY3lmDxpvhcROAP7r6e0X6NPNw+MArFsDjzXFkN03wldYnshszOaRsd+Bdoy0UtKi6eULIm0qcUhsWBS/r3Wk0tGLLwSu3lUB8Rzy++aIr9cp1R0JHY7J7kjqCedvXP7F+PfH/zdNv/g6EnbRbpYoxFSGJyJ0+VgIg6J4ZqjWpwAsbSNlYrZbXlhRBT4N1xROUJeIzXrAOtq0mEjMiMRzh/08qoAJwa+TtNkeovMhEDsP/CnisDNdUfYjFA8rENMzrKfp5PWMbdOnACz3QpMdt7o/YCDGwiBX0HUHPpbVxGphq5p7ZXgVgOXpilLxY2UiOwnDCcLwhgS+P2yDVqez8iFYW2k2WcoaaY8jvWciOi+xnQEU3jCoFK+neft6eT5dywJRM/+H534FYMI3/tR8iTU5KAy4IHD9zqWsavtaLCXxTCBqJI9/6VkAJrb/5YWWrvdtdslAYWDtNtJTciTki8ULSVz/CkQy+pJrHbe5y3lilvCEY+04JE4gZ21R1vXUhFxWDd1Cmbru+qFt26GX/jnUWsfIs29reg8JjjY/6VpHIXEcgGbrIdEj8Mxi5rwpn2JRh+nv/+Jd1t3qkaAWeDaC/QXU5TFq4gh5tHNd5lVXnbc0WgjFMlAjPZvdBTuxG2HKV1jdH0GdTuHO2pbAghCU8taCQs3aKrVdTkZvAOxMW2wWB6p9dVgiCLtNChvekPqYT9fO+LvhYU7FDt5mwZdQl7sOxTHOITvtjDAJ/BWAFhbF2mvRLxt+X6ot+E235F+86HZcFUOOdhlSKqNTXdMaeAtFcXn3NADrXGLN2r5YJO3tlsXXC/jm7IHM9ZerzxXFS0gsFGeFtn0MtC7BVYsLiuJZtvuri5FGW4dsqd3rNAN306I5iWvF8FLi5xvv/QuwkIrU3dDsisZQo501Rl6fJYNfy4jEpeJ5jbeupFL9L6AqnzYkgTGnbp1dplq7EAaD7UJ7INjw+WHWxLVydnhzW8+JtXQma3pbo9X1yOPq44vjCFKWXTCmGUxRDXrqtCjUR3WT7b+xgJ+J2HG7iB8ej3n15xIZHWE3okwnmWYwQ6bRJy5KdZSPfXh/Jwb//pay6V8y1zeTnabWeV41Q9n3Xdf1fTkYZQQxxGgXjc3O7sFMZSDSoe/WCvRP2RGt9hLje8mnmDxRuV2Ly9lE2nZkbVcXf523+zqsM6394l+rjBGDHYSTUn+7jYVA9Gy1noHUD93gFK+ZiSwKy3U3BcZmZLMxnbNvyn5x9lkXM6+M1+WFD/EcKjDYL1G1XOteyGTYKl5anpqJWOSLhHlZlIk0/WokFuKXpjDG5jHTLYehHTndVF/Iv1Dl3/+r+qe9e91OFcvCANqIiGKfxEu88f4P2qBJx0RFUEAgc46qM2qcPymNn3vttS9kf59ldb9c5oXxIQvsvVNiBdeNSHCHAryptDuqel222uQfmmyweO/jrz14djrR8Ej8NTimpcNexw9blP0mluD6lH1mZsOP3Otb8yOopxRJ/w1J9pVwKDkMJ1aTGv4k/j7NsH15gINevG9VmwKNHah+lfVHv6ZDPTcveZohPbw6v13bRzud1PXKGjlQ3fkIx8LXaD/mmdMMjeyi7dxXX5TU+PKGNRSvVz38Ru6ppk4zDD2/mdG45hf5/rEcRorTf7sSi1g2dNTyKbz19qb1bIYebn7/U+lgQ4UUD2AsTtPF/TpaK7oWJU8zpO/ye2UCkjTzgt9Wm1+r5f1zfxAeS18Nyj5g9IUB7vBsaR42ufP4Y7/rcYzvz4RNg2vQzmmGoaz/XmkixA2//rdVnuM+rhjf3b6niK7BQ89mcPyszQifhuOsqt6u02H1sqwGP+/Z0wxJ0ujnthd3GUbxpK3vs2w8zoLcm8L68NbT7kZPzOejWwEu92yGfB4zCmbjpsrnvsyS5kHcbmHylp8YOjvj147FYbtbbk7HIjb7MhXB+k7vRBF9K5ijUZSZZoJMmJll4tx4PE6SZDIpHDZ+nWa4+WyG03fofBqO6x+FevVQnVHQ3jh8EeV9Y1lOv44oXj1vnD+tsvjHLlY2ZF0Gc/oZzPA8mONSwSzro+RxpO/fQBbiWj/Ck7BvM6T5tLFapFqY85O8j06X03V+CnF5ymypU8Wr/frxBE8HF8zzAbOBYD4a4F25r9AoiGuaFPf0Jv9XDcRX0pyfzF8dz/sej/seb8LZbg+Z7Zf8uPDxvPDxwPD7w9cArJaLBxPc7T5WuWD+t4tWJY8jXamBohpG4nFfv5nnHRiIX/J1sVk8luCXnDK7NcXsQTAfDfCufICfD3HS+4dCj4JZIsJfCS7qZE3mLQQzHk4wWxiBv+fE4wfjO4zlwSiMJ38rwssb92at357bj1VDU/bPeXIE/hqIppUHoqHEtxttrZa9X7+0sPB5k4lgdqiJ9exAFA/vkNnfqqb31wfhpUS1/YuotA5cz0CUzIa6rv+HQry6vqa0Eql27UruxJrV9Rkezwa+K2dU2wpbx2fCVx9yvn6TqVatSx5mqLTZcTQN4ys7tpI4nP6NawqjPxHi5dXzwTL1yh7WzRLogQWfUTQNTqtuszAMptEfO5LS4N7xrthcmQinH1L1wi/R9FYF5Gajh0I88O70R6qIfu08ZlH2VkrHSR5fYgqHW09fSXB9j+ehag+64NEqrth/up4e5Drn5sqGLENwW94XZafAiQw+PxRH4QAL6iudLIvBbdmW/vJ0wX59BfXAUry7LKLfRetFX5431wBcLFjvWDygivptbT9WRybABftoNKHrTfDXavkQulur1Cy4I5OX248208NqKMXzKK+pJwP7JGlEN1/4XNsId3MNXg+r6S51FFzdvNYPF0X0WsAa9nHtUPbtAdi1oG1t/AhmPczxhzMNrQ6++e1kaaWTJKbALTe5jkFOepPkrR3RTYc2v/rsdMfwOv2XXj3Mefs09sTN+q+qrPPt5O1HeZKM41kYTI8/vcTPvthSn2pjVQnme34D90d+MeFms8/vJlye7iY8HNbr9WKRfj4B43jtyb+0+o1GVoE7EuUms3wMbZ7aaDQ/b7PlS9d3m+UXN3RsBPNnMPc3g/njVqLvP//9P7Ulbw4ueMtV0J0qsI9hPqb5mThPkiyxx8hmmY1Gv7rjv35kMK42Cy68XKffuXwomGd//rv475qe83r7/zpRQXc6ztHn7f/5JVPfFzN+icfHvzqd6szSmhXGWV5HVX+nwaRSI7pnS8Fnwfw4D+bpmu3DrWA2lsYHnvJa8IbbhkVWxBc+FmrfzT70Zy6vBXP7GczFr2CmxUNnV5/SXLR91S4OckVPOX9vdy/Hz0r243rvZ/Ezkb+SmVabYXZb4ZXcWlh8ltEVVpK2zQUzvZ7LvPfz9U86kGCWfc5V4fERZ/m5n+BN4ST4sd7PeWu2clP2Dyl+PLMBmBJV9EUNvT4UrZakTTdl/5BdccPQAMy328tJC0l6Tf18p9tgGzRnovLbKWmlfL53e4IWNOdmZSfBtNF9vrvjzRow5+ZR6Ukwjcd3f3e7zNgmLErOgtcS1Wp6dx8ldrvZBU3ZRvReqFpb991tyu1008GidBvrTR+6scQuFov1+nDY7pb7zeq99D5zpxi4nAVPDMF1B/Ow3W53u91yudzv95vNJt+Ftlqtjtu4394ePxeigOZSXP5U8B8O5vozmKdcXgbz7ZlglqQDzZUR+PZ+ysEX0T+D+WPEXLUYzJLsoeSaUcGZpHW/g7m9HDHPgtmzywesIFFxISkbgw+dD+am78Es28CyBYuKC0l5gpeLVwTzxxRz2MGUX56cBI+Kj/Q+HuFTU3bdWFP2D5k4g8QDfehThFf7w6LN1RIuxl/55bZpqcs13jvWlFU/w0kiI53uP8svhQIh6bDY+hGPryTxYvZfUc8smFdMf+1/5vlGNK8qn01/KWM0EZYOrv4GPpnoYxl+Gb6ZwHRs8cjmDSqY60R3qnmleqbiNNh2ju6MvnrPVBZJcDdaVzPxRYJ7mt54auMVEtzLeW8cSi9PJVgn6zXjbp5di0Y834u2JaudxE6SJBmPx/FsFgbRMbrGXuoQSlcNwRzHmVkuzASZaSbKjEYjUUUZ3XIu7wUzz6Vg0gnBRDAFk/4azSZDC2b4GczzSlYwGWyEw6TTwYzPgxlUCOZcu4i/0Y+expPX9H7ih3s/kglneQhm41c3ZY2Y8EwtPQ1n46Ry78dqCXRkHM7/HY2i6FZTVlABAAAAACA3j6bhzHWP0DejKJjF4+PmMldOQY+i+3svigBDL+rlIPwcdH8QYOj8oBvfPE9lDgz9GnQFGDo+6AYFg64AQ1cH3bxJVeXssvtboQvRLT/oCjD0eNAVYOhEdEs0qe5xgBleYBrXc9OedxJeIgpmz2d44n2ElxlNZ8/V0AIML54KT8PHL70VYOhxPZ1466AL43BWTz9wdbUAQ4/raQGGztXTYek1prF3CzqoZD0twNDZEE/De4tMAgydnhQX19Oxdwg6Pym+WU8LMPSknr62aUuAoT/19MUikwBD7+rp70nxzPsB/aunvybFAgw9rqcFGPo8FHsLAAAAAAAAAAAAAAAAAAAAAAAAAAAAAAAAAAAAAAAAAAAAAAAAAAAAAAAAAAAAAAAAAAAAAAAAAAAAAAAAAAAAAAAAAAAAAAAAAAAAAAAAAAAAAAAAAAAAAAAAAAAAAABa8D+sJiuGF3xH0gAAAABJRU5ErkJggg=="])self.__next_f.push([1,"54:T135a,"])self.__next_f.push([1,"data:image/png;base64,iVBORw0KGgoAAAANSUhEUgAAA+gAAAIzBAMAAABhAy6PAAAAIVBMVEXeKRD/3gDaEBL/9wDcHhH/6wDugAj1pgXoYAvjQg37xgLT7TT7AAAODUlEQVR42uydy3PTyBbGQaUaHiu6VH1DWLlcLseenUolwnjlUrkCyU6lEnBZzZAJkFkxmAmPVSAwwKySXHInsLqUef+VV4/ElmSPY1ktt+Tz/WYxbBKo/tSnv+4+fc6pUwAAAAAAAAAAAAAAAAAAAAAAAAAAAAAAAAAAAAAAAAAAAAAAc4/axhiQo/kCY0Buoq89xyBQw+ruYxCoTfS6/hajQAxlvaViFIjRMG9BdAJEt2jKgb2MLRsB3lYi+zWNLVcwJPNv3Z6+qPUn+nkdopOwbv9pbVeP/tzpMnYZohOgbrQ2Q9XVJZ2x6xCdAJ0e1x9b7WC/xhi7CdEpxPcdxs3PSsXfr0F0Kk7OD+rO5/2a8tL2RP83RKdAk3taOwsvmq73f7aIfTqJ+O4v5cy58Zs34xn/BtFJxPc1X22m+Ss64/+D6CRoBKKHaA8hOo343o2KjvGgIfqePRD9NsaDBvVBfNce1DAeJOj0BvH90mYVA0Iivr+MLOr6EwtejgJLEf/OzccKVCdA+xOLYHzer2BMii9axp+3ulHRmbPwFnau8Oxm+3G1brO46je2oXrRyXhgHp6+R9Fam1jXi00zY45TcJEegzvmz1C90NSz5S0rB3ZScv3LvW2Ma5FR17K9RWpqQ5JvqlVM9GKLfuBkeWrqJz5HJDfsrTdKDZIXHGVde5Dhx6OHsIzf2npjQfLi0+nxDElOavQ4jt3YrULyUph3zq5Mb9+t2H7tJvbnJTHvOstg3+thmpQTpEXyixWMZym4qjN7avseJD577u3LX/6+jSMZtiQ+bs9mfGr77q0N3PDcmxJmykH0sph3P+Fl2h8+bRqhYQ8y5ZAMWxbRPbX4hSnFamuXtnYt370F53IQvSSs+i9UprXvPzzetSp9P8j4Q4heCoLFeOpaAoPj1nYPGdClIThcEVAfSNnJ4A3AzM27p9ZzIV8P0t5LIvpOmK+e/Td5uzeIXh7zLsZ2e3s/jsqwpaDNg0PzDKfvx6hrOkQviXkP015ElAJr2DbKAZfHvAux76esro1ywGVAPR/OdFdAYFb2dFSGLYWPeynwjXEdNaBLZN490UWcmncudTCiZTDvx8/QRNQCU35rY0TLY97FFHVVz2JAS2TeGWuJiMxY0stk3hnj2GJTM+/5lQjC5C+sefdm+sdcTJh6CG9XWPPO+GIlF9HP4+KtsOY9t54MV69UMMzFIlICrpXPwUrdwM1bUc27Rz72vWHG6/7D2BXHvOdm3xt27C5HRbCXLvp67rV8VzmPTHW1sgU3Xxjznts7NO+vGEx1tbnxE0SXzGq0Wkw+9l39NNgNKs1fDOzgCmTeGcunTaraZUzfP9YcDXjlsxad6fnkOgXvI4OprjR/Nxl27dJ9XKwYmJbLhjrIq/eneqB5Toe9YDrzntebpKBqgXahojT/MPP6sEAKYoWhcrLvavBsqhVqntexH0hh3t1Y2b9cmuOGh37a10BzdOUsmHlnOfU+D82iY+a3goA0XI2Lno99j7V9wJIuG3UvXsk3H0mi4SSfWAKmNu95Bd9Ig0aOnsvyzXs3UbI7F/vedHP+qkAq884TtfnzOC6zIr0+XGTcSqehJ0TPYcm1rn3Ckl4klpKii78Nsa71Ikv6IkQvmnnP4ZDUutbVGbrvFsm87ww1WXqQ4zz3ZvqDNkZdtujdoSZLYqt8Wmd7iSM/VIOfgazVcVSS5t2z72N/IGUzniHNmXMbUz33RfvVnXG8sodEv/HnuB+4u51K8x+</t>
  </si>
  <si>
    <t>2024Points Per Million</t>
  </si>
  <si>
    <r>
      <t>Find a driver...</t>
    </r>
    <r>
      <rPr>
        <sz val="14"/>
        <color rgb="FFFAFAFA"/>
        <rFont val="Inter"/>
      </rPr>
      <t>(e.g. VER+NOR)</t>
    </r>
  </si>
  <si>
    <r>
      <t>Find a constructor...</t>
    </r>
    <r>
      <rPr>
        <sz val="14"/>
        <color rgb="FFFAFAFA"/>
        <rFont val="Inter"/>
      </rPr>
      <t>(e.g. RED+MCL)</t>
    </r>
  </si>
  <si>
    <r>
      <t>PricingContact &amp; About</t>
    </r>
    <r>
      <rPr>
        <sz val="14"/>
        <color rgb="FFFAFAFA"/>
        <rFont val="Inter"/>
      </rPr>
      <t>Give feedback</t>
    </r>
  </si>
  <si>
    <t>F1 Fantasy Tools © 2026 - Disclaimer - Legal documents</t>
  </si>
  <si>
    <t>MAG</t>
  </si>
  <si>
    <t>ZHO</t>
  </si>
  <si>
    <t>RIC</t>
  </si>
  <si>
    <t>BOT</t>
  </si>
  <si>
    <t>SAR</t>
  </si>
  <si>
    <t>PER</t>
  </si>
  <si>
    <t>2024Fantasy Points</t>
  </si>
  <si>
    <t>18 / 18</t>
  </si>
  <si>
    <t>2023Fantasy Points</t>
  </si>
  <si>
    <t>DEV</t>
  </si>
  <si>
    <t>ALT</t>
  </si>
  <si>
    <t>ALF</t>
  </si>
  <si>
    <t>2023Price</t>
  </si>
  <si>
    <t>2024Price</t>
  </si>
  <si>
    <t>2025Price</t>
  </si>
  <si>
    <t>RBR</t>
  </si>
  <si>
    <t>AMR</t>
  </si>
  <si>
    <t>AT</t>
  </si>
  <si>
    <t>HAS</t>
  </si>
  <si>
    <t>RB</t>
  </si>
  <si>
    <t>STK</t>
  </si>
  <si>
    <t>LIN</t>
  </si>
  <si>
    <t>AUD</t>
  </si>
  <si>
    <t>CAD</t>
  </si>
  <si>
    <t>Constructor Points</t>
  </si>
  <si>
    <t>Net Fantasy Points</t>
  </si>
  <si>
    <t>Driver Points</t>
  </si>
  <si>
    <t>Total</t>
  </si>
  <si>
    <r>
      <t> </t>
    </r>
    <r>
      <rPr>
        <sz val="14"/>
        <color rgb="FF3366CC"/>
        <rFont val="Arial"/>
        <family val="2"/>
      </rPr>
      <t>Lando Norris</t>
    </r>
  </si>
  <si>
    <r>
      <t> </t>
    </r>
    <r>
      <rPr>
        <sz val="14"/>
        <color rgb="FF3366CC"/>
        <rFont val="Arial"/>
        <family val="2"/>
      </rPr>
      <t>Max Verstappen</t>
    </r>
  </si>
  <si>
    <r>
      <t> </t>
    </r>
    <r>
      <rPr>
        <sz val="14"/>
        <color rgb="FF3366CC"/>
        <rFont val="Arial"/>
        <family val="2"/>
      </rPr>
      <t>Oscar Piastri</t>
    </r>
  </si>
  <si>
    <r>
      <t> </t>
    </r>
    <r>
      <rPr>
        <sz val="14"/>
        <color rgb="FF3366CC"/>
        <rFont val="Arial"/>
        <family val="2"/>
      </rPr>
      <t>George Russell</t>
    </r>
  </si>
  <si>
    <r>
      <t> </t>
    </r>
    <r>
      <rPr>
        <sz val="14"/>
        <color rgb="FF3366CC"/>
        <rFont val="Arial"/>
        <family val="2"/>
      </rPr>
      <t>Charles Leclerc</t>
    </r>
  </si>
  <si>
    <r>
      <t> </t>
    </r>
    <r>
      <rPr>
        <sz val="14"/>
        <color rgb="FF3366CC"/>
        <rFont val="Arial"/>
        <family val="2"/>
      </rPr>
      <t>Lewis Hamilton</t>
    </r>
  </si>
  <si>
    <r>
      <t> </t>
    </r>
    <r>
      <rPr>
        <sz val="14"/>
        <color rgb="FF3366CC"/>
        <rFont val="Arial"/>
        <family val="2"/>
      </rPr>
      <t>Kimi Antonelli</t>
    </r>
  </si>
  <si>
    <r>
      <t> </t>
    </r>
    <r>
      <rPr>
        <sz val="14"/>
        <color rgb="FF3366CC"/>
        <rFont val="Arial"/>
        <family val="2"/>
      </rPr>
      <t>Alexander Albon</t>
    </r>
  </si>
  <si>
    <r>
      <t> </t>
    </r>
    <r>
      <rPr>
        <sz val="14"/>
        <color rgb="FF3366CC"/>
        <rFont val="Arial"/>
        <family val="2"/>
      </rPr>
      <t>Carlos Sainz Jr.</t>
    </r>
  </si>
  <si>
    <r>
      <t> </t>
    </r>
    <r>
      <rPr>
        <sz val="14"/>
        <color rgb="FF3366CC"/>
        <rFont val="Arial"/>
        <family val="2"/>
      </rPr>
      <t>Fernando Alonso</t>
    </r>
  </si>
  <si>
    <r>
      <t> </t>
    </r>
    <r>
      <rPr>
        <sz val="14"/>
        <color rgb="FF3366CC"/>
        <rFont val="Arial"/>
        <family val="2"/>
      </rPr>
      <t>Nico Hülkenberg</t>
    </r>
  </si>
  <si>
    <r>
      <t> </t>
    </r>
    <r>
      <rPr>
        <sz val="14"/>
        <color rgb="FF3366CC"/>
        <rFont val="Arial"/>
        <family val="2"/>
      </rPr>
      <t>Isack Hadjar</t>
    </r>
  </si>
  <si>
    <r>
      <t> </t>
    </r>
    <r>
      <rPr>
        <sz val="14"/>
        <color rgb="FF3366CC"/>
        <rFont val="Arial"/>
        <family val="2"/>
      </rPr>
      <t>Oliver Bearman</t>
    </r>
  </si>
  <si>
    <r>
      <t> </t>
    </r>
    <r>
      <rPr>
        <sz val="14"/>
        <color rgb="FF3366CC"/>
        <rFont val="Arial"/>
        <family val="2"/>
      </rPr>
      <t>Liam Lawson</t>
    </r>
  </si>
  <si>
    <r>
      <t> </t>
    </r>
    <r>
      <rPr>
        <sz val="14"/>
        <color rgb="FF3366CC"/>
        <rFont val="Arial"/>
        <family val="2"/>
      </rPr>
      <t>Esteban Ocon</t>
    </r>
  </si>
  <si>
    <r>
      <t> </t>
    </r>
    <r>
      <rPr>
        <sz val="14"/>
        <color rgb="FF3366CC"/>
        <rFont val="Arial"/>
        <family val="2"/>
      </rPr>
      <t>Lance Stroll</t>
    </r>
  </si>
  <si>
    <r>
      <t> </t>
    </r>
    <r>
      <rPr>
        <sz val="14"/>
        <color rgb="FF3366CC"/>
        <rFont val="Arial"/>
        <family val="2"/>
      </rPr>
      <t>Yuki Tsunoda</t>
    </r>
  </si>
  <si>
    <r>
      <t> </t>
    </r>
    <r>
      <rPr>
        <sz val="14"/>
        <color rgb="FF3366CC"/>
        <rFont val="Arial"/>
        <family val="2"/>
      </rPr>
      <t>Pierre Gasly</t>
    </r>
  </si>
  <si>
    <r>
      <t> </t>
    </r>
    <r>
      <rPr>
        <sz val="14"/>
        <color rgb="FF3366CC"/>
        <rFont val="Arial"/>
        <family val="2"/>
      </rPr>
      <t>Gabriel Bortoleto</t>
    </r>
  </si>
  <si>
    <r>
      <t> </t>
    </r>
    <r>
      <rPr>
        <sz val="14"/>
        <color rgb="FF3366CC"/>
        <rFont val="Arial"/>
        <family val="2"/>
      </rPr>
      <t>Franco Colapinto</t>
    </r>
  </si>
  <si>
    <r>
      <t> </t>
    </r>
    <r>
      <rPr>
        <sz val="14"/>
        <color rgb="FF3366CC"/>
        <rFont val="Arial"/>
        <family val="2"/>
      </rPr>
      <t>Jack Doohan</t>
    </r>
  </si>
  <si>
    <t>Race Positioning</t>
  </si>
  <si>
    <t>Sprint Positioning</t>
  </si>
  <si>
    <t>Place</t>
  </si>
  <si>
    <t>Race Points</t>
  </si>
  <si>
    <t>Sprint Points</t>
  </si>
  <si>
    <t>x</t>
  </si>
  <si>
    <t>race lookup</t>
  </si>
  <si>
    <t>sprint lookup</t>
  </si>
  <si>
    <t>Actual Total</t>
  </si>
  <si>
    <t>Delta</t>
  </si>
  <si>
    <t>constructor_1</t>
  </si>
  <si>
    <t>constructor_2</t>
  </si>
  <si>
    <t>driver_1</t>
  </si>
  <si>
    <t>driver_2</t>
  </si>
  <si>
    <t>driver_3</t>
  </si>
  <si>
    <t>driver_4</t>
  </si>
  <si>
    <t>driver_5</t>
  </si>
  <si>
    <t>bonus_driver</t>
  </si>
  <si>
    <t>team</t>
  </si>
  <si>
    <t>Guppies</t>
  </si>
  <si>
    <t>Guppies2</t>
  </si>
  <si>
    <t>Race_team</t>
  </si>
  <si>
    <t>1_Guppies</t>
  </si>
  <si>
    <t>1_Guppies2</t>
  </si>
  <si>
    <t>year</t>
  </si>
  <si>
    <t>race</t>
  </si>
  <si>
    <t>2_Guppies</t>
  </si>
  <si>
    <t>2_Guppies2</t>
  </si>
  <si>
    <t>3_Guppies</t>
  </si>
  <si>
    <t>3_Guppies2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</si>
</sst>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5">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10"/>
      <color theme="1"/>
      <name val="Calibri"/>
      <family val="2"/>
      <scheme val="minor"/>
    </font>
    <font>
      <u/>
      <sz val="12"/>
      <color theme="10"/>
      <name val="Calibri"/>
      <family val="2"/>
      <scheme val="minor"/>
    </font>
    <font>
      <b/>
      <sz val="18"/>
      <color theme="1"/>
      <name val="Arial"/>
      <family val="2"/>
    </font>
    <font>
      <b/>
      <sz val="10"/>
      <color theme="1"/>
      <name val="Calibri"/>
      <family val="2"/>
      <scheme val="minor"/>
    </font>
    <font>
      <b/>
      <sz val="13.5"/>
      <color theme="1"/>
      <name val="Arial"/>
      <family val="2"/>
    </font>
    <font>
      <sz val="14"/>
      <color rgb="FFFAFAFA"/>
      <name val="Inter"/>
    </font>
    <font>
      <sz val="14"/>
      <color rgb="FFA1A1AA"/>
      <name val="Inter"/>
    </font>
    <font>
      <b/>
      <sz val="18"/>
      <color rgb="FFFAFAFA"/>
      <name val="Arial"/>
      <family val="2"/>
    </font>
    <font>
      <sz val="12"/>
      <color rgb="FFFAFAFA"/>
      <name val="Inter"/>
    </font>
    <font>
      <sz val="12"/>
      <color theme="1"/>
      <name val="Inter"/>
    </font>
    <font>
      <sz val="12"/>
      <color theme="1"/>
      <name val="Inter"/>
    </font>
    <font>
      <sz val="18"/>
      <color rgb="FFFAFAFA"/>
      <name val="Arial"/>
      <family val="2"/>
    </font>
    <font>
      <sz val="13.5"/>
      <color rgb="FFFAFAFA"/>
      <name val="Arial"/>
      <family val="2"/>
    </font>
    <font>
      <sz val="12"/>
      <color rgb="FF000000"/>
      <name val="Calibri"/>
      <family val="2"/>
      <scheme val="minor"/>
    </font>
    <font>
      <b/>
      <sz val="14"/>
      <color rgb="FF202122"/>
      <name val="Arial"/>
      <family val="2"/>
    </font>
    <font>
      <sz val="14"/>
      <color rgb="FF202122"/>
      <name val="Arial"/>
      <family val="2"/>
    </font>
    <font>
      <sz val="14"/>
      <color rgb="FF3366CC"/>
      <name val="Arial"/>
      <family val="2"/>
    </font>
  </fonts>
  <fills count="131">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D480F"/>
        <bgColor indexed="64"/>
      </patternFill>
    </fill>
    <fill>
      <patternFill patternType="solid">
        <fgColor rgb="FF0A530C"/>
        <bgColor indexed="64"/>
      </patternFill>
    </fill>
    <fill>
      <patternFill patternType="solid">
        <fgColor rgb="FF103C12"/>
        <bgColor indexed="64"/>
      </patternFill>
    </fill>
    <fill>
      <patternFill patternType="solid">
        <fgColor rgb="FF0A570B"/>
        <bgColor indexed="64"/>
      </patternFill>
    </fill>
    <fill>
      <patternFill patternType="solid">
        <fgColor rgb="FF132C16"/>
        <bgColor indexed="64"/>
      </patternFill>
    </fill>
    <fill>
      <patternFill patternType="solid">
        <fgColor rgb="FF113613"/>
        <bgColor indexed="64"/>
      </patternFill>
    </fill>
    <fill>
      <patternFill patternType="solid">
        <fgColor rgb="FF123414"/>
        <bgColor indexed="64"/>
      </patternFill>
    </fill>
    <fill>
      <patternFill patternType="solid">
        <fgColor rgb="FF103B12"/>
        <bgColor indexed="64"/>
      </patternFill>
    </fill>
    <fill>
      <patternFill patternType="solid">
        <fgColor rgb="FF142A16"/>
        <bgColor indexed="64"/>
      </patternFill>
    </fill>
    <fill>
      <patternFill patternType="solid">
        <fgColor rgb="FF0E450F"/>
        <bgColor indexed="64"/>
      </patternFill>
    </fill>
    <fill>
      <patternFill patternType="solid">
        <fgColor rgb="FF066706"/>
        <bgColor indexed="64"/>
      </patternFill>
    </fill>
    <fill>
      <patternFill patternType="solid">
        <fgColor rgb="FF008000"/>
        <bgColor indexed="64"/>
      </patternFill>
    </fill>
    <fill>
      <patternFill patternType="solid">
        <fgColor rgb="FF0C4D0D"/>
        <bgColor indexed="64"/>
      </patternFill>
    </fill>
    <fill>
      <patternFill patternType="solid">
        <fgColor rgb="FF085C09"/>
        <bgColor indexed="64"/>
      </patternFill>
    </fill>
    <fill>
      <patternFill patternType="solid">
        <fgColor rgb="FF0C4B0E"/>
        <bgColor indexed="64"/>
      </patternFill>
    </fill>
    <fill>
      <patternFill patternType="solid">
        <fgColor rgb="FF0D460F"/>
        <bgColor indexed="64"/>
      </patternFill>
    </fill>
    <fill>
      <patternFill patternType="solid">
        <fgColor rgb="FF211619"/>
        <bgColor indexed="64"/>
      </patternFill>
    </fill>
    <fill>
      <patternFill patternType="solid">
        <fgColor rgb="FF0A550B"/>
        <bgColor indexed="64"/>
      </patternFill>
    </fill>
    <fill>
      <patternFill patternType="solid">
        <fgColor rgb="FF09580A"/>
        <bgColor indexed="64"/>
      </patternFill>
    </fill>
    <fill>
      <patternFill patternType="solid">
        <fgColor rgb="FF0E4110"/>
        <bgColor indexed="64"/>
      </patternFill>
    </fill>
    <fill>
      <patternFill patternType="solid">
        <fgColor rgb="FF152717"/>
        <bgColor indexed="64"/>
      </patternFill>
    </fill>
    <fill>
      <patternFill patternType="solid">
        <fgColor rgb="FF056906"/>
        <bgColor indexed="64"/>
      </patternFill>
    </fill>
    <fill>
      <patternFill patternType="solid">
        <fgColor rgb="FF0D490E"/>
        <bgColor indexed="64"/>
      </patternFill>
    </fill>
    <fill>
      <patternFill patternType="solid">
        <fgColor rgb="FF142917"/>
        <bgColor indexed="64"/>
      </patternFill>
    </fill>
    <fill>
      <patternFill patternType="solid">
        <fgColor rgb="FF0F4011"/>
        <bgColor indexed="64"/>
      </patternFill>
    </fill>
    <fill>
      <patternFill patternType="solid">
        <fgColor rgb="FF0F3E11"/>
        <bgColor indexed="64"/>
      </patternFill>
    </fill>
    <fill>
      <patternFill patternType="solid">
        <fgColor rgb="FF113713"/>
        <bgColor indexed="64"/>
      </patternFill>
    </fill>
    <fill>
      <patternFill patternType="solid">
        <fgColor rgb="FF0E4410"/>
        <bgColor indexed="64"/>
      </patternFill>
    </fill>
    <fill>
      <patternFill patternType="solid">
        <fgColor rgb="FF123214"/>
        <bgColor indexed="64"/>
      </patternFill>
    </fill>
    <fill>
      <patternFill patternType="solid">
        <fgColor rgb="FF123115"/>
        <bgColor indexed="64"/>
      </patternFill>
    </fill>
    <fill>
      <patternFill patternType="solid">
        <fgColor rgb="FF171D1A"/>
        <bgColor indexed="64"/>
      </patternFill>
    </fill>
    <fill>
      <patternFill patternType="solid">
        <fgColor rgb="FF066607"/>
        <bgColor indexed="64"/>
      </patternFill>
    </fill>
    <fill>
      <patternFill patternType="solid">
        <fgColor rgb="FF152518"/>
        <bgColor indexed="64"/>
      </patternFill>
    </fill>
    <fill>
      <patternFill patternType="solid">
        <fgColor rgb="FF103912"/>
        <bgColor indexed="64"/>
      </patternFill>
    </fill>
    <fill>
      <patternFill patternType="solid">
        <fgColor rgb="FF3B1012"/>
        <bgColor indexed="64"/>
      </patternFill>
    </fill>
    <fill>
      <patternFill patternType="solid">
        <fgColor rgb="FF171B1A"/>
        <bgColor indexed="64"/>
      </patternFill>
    </fill>
    <fill>
      <patternFill patternType="solid">
        <fgColor rgb="FF162218"/>
        <bgColor indexed="64"/>
      </patternFill>
    </fill>
    <fill>
      <patternFill patternType="solid">
        <fgColor rgb="FF162019"/>
        <bgColor indexed="64"/>
      </patternFill>
    </fill>
    <fill>
      <patternFill patternType="solid">
        <fgColor rgb="FF161F19"/>
        <bgColor indexed="64"/>
      </patternFill>
    </fill>
    <fill>
      <patternFill patternType="solid">
        <fgColor rgb="FF132F15"/>
        <bgColor indexed="64"/>
      </patternFill>
    </fill>
    <fill>
      <patternFill patternType="solid">
        <fgColor rgb="FF123314"/>
        <bgColor indexed="64"/>
      </patternFill>
    </fill>
    <fill>
      <patternFill patternType="solid">
        <fgColor rgb="FF181A1B"/>
        <bgColor indexed="64"/>
      </patternFill>
    </fill>
    <fill>
      <patternFill patternType="solid">
        <fgColor rgb="FF291417"/>
        <bgColor indexed="64"/>
      </patternFill>
    </fill>
    <fill>
      <patternFill patternType="solid">
        <fgColor rgb="FF18181B"/>
        <bgColor indexed="64"/>
      </patternFill>
    </fill>
    <fill>
      <patternFill patternType="solid">
        <fgColor rgb="FF152418"/>
        <bgColor indexed="64"/>
      </patternFill>
    </fill>
    <fill>
      <patternFill patternType="solid">
        <fgColor rgb="FF152617"/>
        <bgColor indexed="64"/>
      </patternFill>
    </fill>
    <fill>
      <patternFill patternType="solid">
        <fgColor rgb="FF162119"/>
        <bgColor indexed="64"/>
      </patternFill>
    </fill>
    <fill>
      <patternFill patternType="solid">
        <fgColor rgb="FF171C1A"/>
        <bgColor indexed="64"/>
      </patternFill>
    </fill>
    <fill>
      <patternFill patternType="solid">
        <fgColor rgb="FF800000"/>
        <bgColor indexed="64"/>
      </patternFill>
    </fill>
    <fill>
      <patternFill patternType="solid">
        <fgColor rgb="FF18191B"/>
        <bgColor indexed="64"/>
      </patternFill>
    </fill>
    <fill>
      <patternFill patternType="solid">
        <fgColor rgb="FF132E15"/>
        <bgColor indexed="64"/>
      </patternFill>
    </fill>
    <fill>
      <patternFill patternType="solid">
        <fgColor rgb="FF142B16"/>
        <bgColor indexed="64"/>
      </patternFill>
    </fill>
    <fill>
      <patternFill patternType="solid">
        <fgColor rgb="FF132D16"/>
        <bgColor indexed="64"/>
      </patternFill>
    </fill>
    <fill>
      <patternFill patternType="solid">
        <fgColor rgb="FF037104"/>
        <bgColor indexed="64"/>
      </patternFill>
    </fill>
    <fill>
      <patternFill patternType="solid">
        <fgColor rgb="FF076407"/>
        <bgColor indexed="64"/>
      </patternFill>
    </fill>
    <fill>
      <patternFill patternType="solid">
        <fgColor rgb="FF076008"/>
        <bgColor indexed="64"/>
      </patternFill>
    </fill>
    <fill>
      <patternFill patternType="solid">
        <fgColor rgb="FF076108"/>
        <bgColor indexed="64"/>
      </patternFill>
    </fill>
    <fill>
      <patternFill patternType="solid">
        <fgColor rgb="FF047004"/>
        <bgColor indexed="64"/>
      </patternFill>
    </fill>
    <fill>
      <patternFill patternType="solid">
        <fgColor rgb="FF056A06"/>
        <bgColor indexed="64"/>
      </patternFill>
    </fill>
    <fill>
      <patternFill patternType="solid">
        <fgColor rgb="FF046D05"/>
        <bgColor indexed="64"/>
      </patternFill>
    </fill>
    <fill>
      <patternFill patternType="solid">
        <fgColor rgb="FF0B500C"/>
        <bgColor indexed="64"/>
      </patternFill>
    </fill>
    <fill>
      <patternFill patternType="solid">
        <fgColor rgb="FF0B500D"/>
        <bgColor indexed="64"/>
      </patternFill>
    </fill>
    <fill>
      <patternFill patternType="solid">
        <fgColor rgb="FF7A0102"/>
        <bgColor indexed="64"/>
      </patternFill>
    </fill>
    <fill>
      <patternFill patternType="solid">
        <fgColor rgb="FF0F4110"/>
        <bgColor indexed="64"/>
      </patternFill>
    </fill>
    <fill>
      <patternFill patternType="solid">
        <fgColor rgb="FF0D480E"/>
        <bgColor indexed="64"/>
      </patternFill>
    </fill>
    <fill>
      <patternFill patternType="solid">
        <fgColor rgb="FF103A12"/>
        <bgColor indexed="64"/>
      </patternFill>
    </fill>
    <fill>
      <patternFill patternType="solid">
        <fgColor rgb="FF076308"/>
        <bgColor indexed="64"/>
      </patternFill>
    </fill>
    <fill>
      <patternFill patternType="solid">
        <fgColor rgb="FF113813"/>
        <bgColor indexed="64"/>
      </patternFill>
    </fill>
    <fill>
      <patternFill patternType="solid">
        <fgColor rgb="FF066507"/>
        <bgColor indexed="64"/>
      </patternFill>
    </fill>
    <fill>
      <patternFill patternType="solid">
        <fgColor rgb="FF171E19"/>
        <bgColor indexed="64"/>
      </patternFill>
    </fill>
    <fill>
      <patternFill patternType="solid">
        <fgColor rgb="FF103913"/>
        <bgColor indexed="64"/>
      </patternFill>
    </fill>
    <fill>
      <patternFill patternType="solid">
        <fgColor rgb="FF0C4E0D"/>
        <bgColor indexed="64"/>
      </patternFill>
    </fill>
    <fill>
      <patternFill patternType="solid">
        <fgColor rgb="FF056806"/>
        <bgColor indexed="64"/>
      </patternFill>
    </fill>
    <fill>
      <patternFill patternType="solid">
        <fgColor rgb="FF0C4A0E"/>
        <bgColor indexed="64"/>
      </patternFill>
    </fill>
    <fill>
      <patternFill patternType="solid">
        <fgColor rgb="FF5A090A"/>
        <bgColor indexed="64"/>
      </patternFill>
    </fill>
    <fill>
      <patternFill patternType="solid">
        <fgColor rgb="FF0A560B"/>
        <bgColor indexed="64"/>
      </patternFill>
    </fill>
    <fill>
      <patternFill patternType="solid">
        <fgColor rgb="FF241518"/>
        <bgColor indexed="64"/>
      </patternFill>
    </fill>
    <fill>
      <patternFill patternType="solid">
        <fgColor rgb="FF0E4210"/>
        <bgColor indexed="64"/>
      </patternFill>
    </fill>
    <fill>
      <patternFill patternType="solid">
        <fgColor rgb="FF152318"/>
        <bgColor indexed="64"/>
      </patternFill>
    </fill>
    <fill>
      <patternFill patternType="solid">
        <fgColor rgb="FF133015"/>
        <bgColor indexed="64"/>
      </patternFill>
    </fill>
    <fill>
      <patternFill patternType="solid">
        <fgColor rgb="FF0F3D11"/>
        <bgColor indexed="64"/>
      </patternFill>
    </fill>
    <fill>
      <patternFill patternType="solid">
        <fgColor rgb="FF2F1315"/>
        <bgColor indexed="64"/>
      </patternFill>
    </fill>
    <fill>
      <patternFill patternType="solid">
        <fgColor rgb="FF162318"/>
        <bgColor indexed="64"/>
      </patternFill>
    </fill>
    <fill>
      <patternFill patternType="solid">
        <fgColor rgb="FF3E0F11"/>
        <bgColor indexed="64"/>
      </patternFill>
    </fill>
    <fill>
      <patternFill patternType="solid">
        <fgColor rgb="FF321214"/>
        <bgColor indexed="64"/>
      </patternFill>
    </fill>
    <fill>
      <patternFill patternType="solid">
        <fgColor rgb="FF261517"/>
        <bgColor indexed="64"/>
      </patternFill>
    </fill>
    <fill>
      <patternFill patternType="solid">
        <fgColor rgb="FF351114"/>
        <bgColor indexed="64"/>
      </patternFill>
    </fill>
    <fill>
      <patternFill patternType="solid">
        <fgColor rgb="FF142817"/>
        <bgColor indexed="64"/>
      </patternFill>
    </fill>
    <fill>
      <patternFill patternType="solid">
        <fgColor rgb="FF7D0101"/>
        <bgColor indexed="64"/>
      </patternFill>
    </fill>
    <fill>
      <patternFill patternType="solid">
        <fgColor rgb="FF113513"/>
        <bgColor indexed="64"/>
      </patternFill>
    </fill>
    <fill>
      <patternFill patternType="solid">
        <fgColor rgb="FF381113"/>
        <bgColor indexed="64"/>
      </patternFill>
    </fill>
    <fill>
      <patternFill patternType="solid">
        <fgColor rgb="FF1E171A"/>
        <bgColor indexed="64"/>
      </patternFill>
    </fill>
    <fill>
      <patternFill patternType="solid">
        <fgColor rgb="FF58090B"/>
        <bgColor indexed="64"/>
      </patternFill>
    </fill>
    <fill>
      <patternFill patternType="solid">
        <fgColor rgb="FF400F11"/>
        <bgColor indexed="64"/>
      </patternFill>
    </fill>
    <fill>
      <patternFill patternType="solid">
        <fgColor rgb="FF142916"/>
        <bgColor indexed="64"/>
      </patternFill>
    </fill>
    <fill>
      <patternFill patternType="solid">
        <fgColor rgb="FF123114"/>
        <bgColor indexed="64"/>
      </patternFill>
    </fill>
    <fill>
      <patternFill patternType="solid">
        <fgColor rgb="FF113514"/>
        <bgColor indexed="64"/>
      </patternFill>
    </fill>
    <fill>
      <patternFill patternType="solid">
        <fgColor rgb="FF113414"/>
        <bgColor indexed="64"/>
      </patternFill>
    </fill>
  </fills>
  <borders count="3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9" fillId="0" borderId="0" applyNumberFormat="0" applyFill="0" applyBorder="0" applyAlignment="0" applyProtection="0"/>
  </cellStyleXfs>
  <cellXfs count="152">
    <xf numFmtId="0" fontId="0" fillId="0" borderId="0" xfId="0"/>
    <xf numFmtId="0" fontId="18" fillId="0" borderId="0" xfId="0" applyFont="1"/>
    <xf numFmtId="0" fontId="19" fillId="0" borderId="0" xfId="42"/>
    <xf numFmtId="0" fontId="19" fillId="0" borderId="0" xfId="42" applyAlignment="1">
      <alignment horizontal="left" indent="1"/>
    </xf>
    <xf numFmtId="0" fontId="20" fillId="0" borderId="0" xfId="0" applyFont="1"/>
    <xf numFmtId="0" fontId="21" fillId="0" borderId="0" xfId="0" applyFont="1" applyAlignment="1">
      <alignment horizontal="center" vertical="center" wrapText="1"/>
    </xf>
    <xf numFmtId="0" fontId="0" fillId="0" borderId="0" xfId="0" applyAlignment="1">
      <alignment wrapText="1"/>
    </xf>
    <xf numFmtId="0" fontId="18" fillId="0" borderId="0" xfId="0" applyFont="1" applyAlignment="1">
      <alignment wrapText="1"/>
    </xf>
    <xf numFmtId="0" fontId="18" fillId="33" borderId="0" xfId="0" applyFont="1" applyFill="1" applyAlignment="1">
      <alignment wrapText="1"/>
    </xf>
    <xf numFmtId="0" fontId="18" fillId="34" borderId="0" xfId="0" applyFont="1" applyFill="1" applyAlignment="1">
      <alignment wrapText="1"/>
    </xf>
    <xf numFmtId="0" fontId="18" fillId="35" borderId="0" xfId="0" applyFont="1" applyFill="1" applyAlignment="1">
      <alignment wrapText="1"/>
    </xf>
    <xf numFmtId="0" fontId="18" fillId="36" borderId="0" xfId="0" applyFont="1" applyFill="1" applyAlignment="1">
      <alignment wrapText="1"/>
    </xf>
    <xf numFmtId="0" fontId="18" fillId="37" borderId="0" xfId="0" applyFont="1" applyFill="1" applyAlignment="1">
      <alignment wrapText="1"/>
    </xf>
    <xf numFmtId="0" fontId="18" fillId="38" borderId="0" xfId="0" applyFont="1" applyFill="1" applyAlignment="1">
      <alignment wrapText="1"/>
    </xf>
    <xf numFmtId="0" fontId="18" fillId="39" borderId="0" xfId="0" applyFont="1" applyFill="1" applyAlignment="1">
      <alignment wrapText="1"/>
    </xf>
    <xf numFmtId="0" fontId="18" fillId="40" borderId="0" xfId="0" applyFont="1" applyFill="1" applyAlignment="1">
      <alignment wrapText="1"/>
    </xf>
    <xf numFmtId="0" fontId="18" fillId="41" borderId="0" xfId="0" applyFont="1" applyFill="1" applyAlignment="1">
      <alignment wrapText="1"/>
    </xf>
    <xf numFmtId="0" fontId="18" fillId="42" borderId="0" xfId="0" applyFont="1" applyFill="1" applyAlignment="1">
      <alignment wrapText="1"/>
    </xf>
    <xf numFmtId="0" fontId="18" fillId="43" borderId="0" xfId="0" applyFont="1" applyFill="1" applyAlignment="1">
      <alignment wrapText="1"/>
    </xf>
    <xf numFmtId="0" fontId="18" fillId="44" borderId="0" xfId="0" applyFont="1" applyFill="1" applyAlignment="1">
      <alignment wrapText="1"/>
    </xf>
    <xf numFmtId="0" fontId="18" fillId="45" borderId="0" xfId="0" applyFont="1" applyFill="1" applyAlignment="1">
      <alignment wrapText="1"/>
    </xf>
    <xf numFmtId="0" fontId="18" fillId="46" borderId="0" xfId="0" applyFont="1" applyFill="1" applyAlignment="1">
      <alignment wrapText="1"/>
    </xf>
    <xf numFmtId="0" fontId="18" fillId="47" borderId="0" xfId="0" applyFont="1" applyFill="1" applyAlignment="1">
      <alignment wrapText="1"/>
    </xf>
    <xf numFmtId="0" fontId="18" fillId="48" borderId="0" xfId="0" applyFont="1" applyFill="1" applyAlignment="1">
      <alignment wrapText="1"/>
    </xf>
    <xf numFmtId="0" fontId="18" fillId="49" borderId="0" xfId="0" applyFont="1" applyFill="1" applyAlignment="1">
      <alignment wrapText="1"/>
    </xf>
    <xf numFmtId="0" fontId="18" fillId="50" borderId="0" xfId="0" applyFont="1" applyFill="1" applyAlignment="1">
      <alignment wrapText="1"/>
    </xf>
    <xf numFmtId="0" fontId="18" fillId="51" borderId="0" xfId="0" applyFont="1" applyFill="1" applyAlignment="1">
      <alignment wrapText="1"/>
    </xf>
    <xf numFmtId="0" fontId="18" fillId="52" borderId="0" xfId="0" applyFont="1" applyFill="1" applyAlignment="1">
      <alignment wrapText="1"/>
    </xf>
    <xf numFmtId="0" fontId="18" fillId="53" borderId="0" xfId="0" applyFont="1" applyFill="1" applyAlignment="1">
      <alignment wrapText="1"/>
    </xf>
    <xf numFmtId="0" fontId="18" fillId="54" borderId="0" xfId="0" applyFont="1" applyFill="1" applyAlignment="1">
      <alignment wrapText="1"/>
    </xf>
    <xf numFmtId="0" fontId="18" fillId="55" borderId="0" xfId="0" applyFont="1" applyFill="1" applyAlignment="1">
      <alignment wrapText="1"/>
    </xf>
    <xf numFmtId="0" fontId="18" fillId="56" borderId="0" xfId="0" applyFont="1" applyFill="1" applyAlignment="1">
      <alignment wrapText="1"/>
    </xf>
    <xf numFmtId="0" fontId="18" fillId="57" borderId="0" xfId="0" applyFont="1" applyFill="1" applyAlignment="1">
      <alignment wrapText="1"/>
    </xf>
    <xf numFmtId="0" fontId="18" fillId="58" borderId="0" xfId="0" applyFont="1" applyFill="1" applyAlignment="1">
      <alignment wrapText="1"/>
    </xf>
    <xf numFmtId="0" fontId="18" fillId="59" borderId="0" xfId="0" applyFont="1" applyFill="1" applyAlignment="1">
      <alignment wrapText="1"/>
    </xf>
    <xf numFmtId="0" fontId="18" fillId="60" borderId="0" xfId="0" applyFont="1" applyFill="1" applyAlignment="1">
      <alignment wrapText="1"/>
    </xf>
    <xf numFmtId="0" fontId="18" fillId="61" borderId="0" xfId="0" applyFont="1" applyFill="1" applyAlignment="1">
      <alignment wrapText="1"/>
    </xf>
    <xf numFmtId="0" fontId="18" fillId="62" borderId="0" xfId="0" applyFont="1" applyFill="1" applyAlignment="1">
      <alignment wrapText="1"/>
    </xf>
    <xf numFmtId="0" fontId="18" fillId="63" borderId="0" xfId="0" applyFont="1" applyFill="1" applyAlignment="1">
      <alignment wrapText="1"/>
    </xf>
    <xf numFmtId="0" fontId="18" fillId="64" borderId="0" xfId="0" applyFont="1" applyFill="1" applyAlignment="1">
      <alignment wrapText="1"/>
    </xf>
    <xf numFmtId="0" fontId="18" fillId="65" borderId="0" xfId="0" applyFont="1" applyFill="1" applyAlignment="1">
      <alignment wrapText="1"/>
    </xf>
    <xf numFmtId="0" fontId="18" fillId="66" borderId="0" xfId="0" applyFont="1" applyFill="1" applyAlignment="1">
      <alignment wrapText="1"/>
    </xf>
    <xf numFmtId="0" fontId="18" fillId="67" borderId="0" xfId="0" applyFont="1" applyFill="1" applyAlignment="1">
      <alignment wrapText="1"/>
    </xf>
    <xf numFmtId="0" fontId="18" fillId="68" borderId="0" xfId="0" applyFont="1" applyFill="1" applyAlignment="1">
      <alignment wrapText="1"/>
    </xf>
    <xf numFmtId="0" fontId="18" fillId="69" borderId="0" xfId="0" applyFont="1" applyFill="1" applyAlignment="1">
      <alignment wrapText="1"/>
    </xf>
    <xf numFmtId="0" fontId="18" fillId="70" borderId="0" xfId="0" applyFont="1" applyFill="1" applyAlignment="1">
      <alignment wrapText="1"/>
    </xf>
    <xf numFmtId="0" fontId="18" fillId="71" borderId="0" xfId="0" applyFont="1" applyFill="1" applyAlignment="1">
      <alignment wrapText="1"/>
    </xf>
    <xf numFmtId="0" fontId="18" fillId="72" borderId="0" xfId="0" applyFont="1" applyFill="1" applyAlignment="1">
      <alignment wrapText="1"/>
    </xf>
    <xf numFmtId="0" fontId="18" fillId="73" borderId="0" xfId="0" applyFont="1" applyFill="1" applyAlignment="1">
      <alignment wrapText="1"/>
    </xf>
    <xf numFmtId="0" fontId="18" fillId="74" borderId="0" xfId="0" applyFont="1" applyFill="1" applyAlignment="1">
      <alignment wrapText="1"/>
    </xf>
    <xf numFmtId="0" fontId="18" fillId="75" borderId="0" xfId="0" applyFont="1" applyFill="1" applyAlignment="1">
      <alignment wrapText="1"/>
    </xf>
    <xf numFmtId="0" fontId="18" fillId="76" borderId="0" xfId="0" applyFont="1" applyFill="1" applyAlignment="1">
      <alignment wrapText="1"/>
    </xf>
    <xf numFmtId="0" fontId="18" fillId="77" borderId="0" xfId="0" applyFont="1" applyFill="1" applyAlignment="1">
      <alignment wrapText="1"/>
    </xf>
    <xf numFmtId="0" fontId="18" fillId="78" borderId="0" xfId="0" applyFont="1" applyFill="1" applyAlignment="1">
      <alignment wrapText="1"/>
    </xf>
    <xf numFmtId="0" fontId="18" fillId="79" borderId="0" xfId="0" applyFont="1" applyFill="1" applyAlignment="1">
      <alignment wrapText="1"/>
    </xf>
    <xf numFmtId="0" fontId="18" fillId="80" borderId="0" xfId="0" applyFont="1" applyFill="1" applyAlignment="1">
      <alignment wrapText="1"/>
    </xf>
    <xf numFmtId="0" fontId="18" fillId="81" borderId="0" xfId="0" applyFont="1" applyFill="1" applyAlignment="1">
      <alignment wrapText="1"/>
    </xf>
    <xf numFmtId="0" fontId="18" fillId="82" borderId="0" xfId="0" applyFont="1" applyFill="1" applyAlignment="1">
      <alignment wrapText="1"/>
    </xf>
    <xf numFmtId="0" fontId="18" fillId="83" borderId="0" xfId="0" applyFont="1" applyFill="1" applyAlignment="1">
      <alignment wrapText="1"/>
    </xf>
    <xf numFmtId="0" fontId="18" fillId="84" borderId="0" xfId="0" applyFont="1" applyFill="1" applyAlignment="1">
      <alignment wrapText="1"/>
    </xf>
    <xf numFmtId="0" fontId="18" fillId="85" borderId="0" xfId="0" applyFont="1" applyFill="1" applyAlignment="1">
      <alignment wrapText="1"/>
    </xf>
    <xf numFmtId="0" fontId="18" fillId="86" borderId="0" xfId="0" applyFont="1" applyFill="1" applyAlignment="1">
      <alignment wrapText="1"/>
    </xf>
    <xf numFmtId="0" fontId="18" fillId="87" borderId="0" xfId="0" applyFont="1" applyFill="1" applyAlignment="1">
      <alignment wrapText="1"/>
    </xf>
    <xf numFmtId="0" fontId="18" fillId="88" borderId="0" xfId="0" applyFont="1" applyFill="1" applyAlignment="1">
      <alignment wrapText="1"/>
    </xf>
    <xf numFmtId="0" fontId="18" fillId="89" borderId="0" xfId="0" applyFont="1" applyFill="1" applyAlignment="1">
      <alignment wrapText="1"/>
    </xf>
    <xf numFmtId="0" fontId="18" fillId="90" borderId="0" xfId="0" applyFont="1" applyFill="1" applyAlignment="1">
      <alignment wrapText="1"/>
    </xf>
    <xf numFmtId="0" fontId="18" fillId="91" borderId="0" xfId="0" applyFont="1" applyFill="1" applyAlignment="1">
      <alignment wrapText="1"/>
    </xf>
    <xf numFmtId="0" fontId="18" fillId="92" borderId="0" xfId="0" applyFont="1" applyFill="1" applyAlignment="1">
      <alignment wrapText="1"/>
    </xf>
    <xf numFmtId="0" fontId="18" fillId="93" borderId="0" xfId="0" applyFont="1" applyFill="1" applyAlignment="1">
      <alignment wrapText="1"/>
    </xf>
    <xf numFmtId="0" fontId="18" fillId="94" borderId="0" xfId="0" applyFont="1" applyFill="1" applyAlignment="1">
      <alignment wrapText="1"/>
    </xf>
    <xf numFmtId="0" fontId="18" fillId="95" borderId="0" xfId="0" applyFont="1" applyFill="1" applyAlignment="1">
      <alignment wrapText="1"/>
    </xf>
    <xf numFmtId="0" fontId="18" fillId="96" borderId="0" xfId="0" applyFont="1" applyFill="1" applyAlignment="1">
      <alignment wrapText="1"/>
    </xf>
    <xf numFmtId="0" fontId="18" fillId="97" borderId="0" xfId="0" applyFont="1" applyFill="1" applyAlignment="1">
      <alignment wrapText="1"/>
    </xf>
    <xf numFmtId="0" fontId="18" fillId="98" borderId="0" xfId="0" applyFont="1" applyFill="1" applyAlignment="1">
      <alignment wrapText="1"/>
    </xf>
    <xf numFmtId="0" fontId="18" fillId="99" borderId="0" xfId="0" applyFont="1" applyFill="1" applyAlignment="1">
      <alignment wrapText="1"/>
    </xf>
    <xf numFmtId="0" fontId="18" fillId="100" borderId="0" xfId="0" applyFont="1" applyFill="1" applyAlignment="1">
      <alignment wrapText="1"/>
    </xf>
    <xf numFmtId="0" fontId="18" fillId="101" borderId="0" xfId="0" applyFont="1" applyFill="1" applyAlignment="1">
      <alignment wrapText="1"/>
    </xf>
    <xf numFmtId="0" fontId="18" fillId="102" borderId="0" xfId="0" applyFont="1" applyFill="1" applyAlignment="1">
      <alignment wrapText="1"/>
    </xf>
    <xf numFmtId="0" fontId="18" fillId="103" borderId="0" xfId="0" applyFont="1" applyFill="1" applyAlignment="1">
      <alignment wrapText="1"/>
    </xf>
    <xf numFmtId="0" fontId="18" fillId="104" borderId="0" xfId="0" applyFont="1" applyFill="1" applyAlignment="1">
      <alignment wrapText="1"/>
    </xf>
    <xf numFmtId="0" fontId="18" fillId="105" borderId="0" xfId="0" applyFont="1" applyFill="1" applyAlignment="1">
      <alignment wrapText="1"/>
    </xf>
    <xf numFmtId="0" fontId="18" fillId="106" borderId="0" xfId="0" applyFont="1" applyFill="1" applyAlignment="1">
      <alignment wrapText="1"/>
    </xf>
    <xf numFmtId="0" fontId="18" fillId="107" borderId="0" xfId="0" applyFont="1" applyFill="1" applyAlignment="1">
      <alignment wrapText="1"/>
    </xf>
    <xf numFmtId="0" fontId="18" fillId="108" borderId="0" xfId="0" applyFont="1" applyFill="1" applyAlignment="1">
      <alignment wrapText="1"/>
    </xf>
    <xf numFmtId="0" fontId="18" fillId="109" borderId="0" xfId="0" applyFont="1" applyFill="1" applyAlignment="1">
      <alignment wrapText="1"/>
    </xf>
    <xf numFmtId="0" fontId="18" fillId="110" borderId="0" xfId="0" applyFont="1" applyFill="1" applyAlignment="1">
      <alignment wrapText="1"/>
    </xf>
    <xf numFmtId="0" fontId="18" fillId="111" borderId="0" xfId="0" applyFont="1" applyFill="1" applyAlignment="1">
      <alignment wrapText="1"/>
    </xf>
    <xf numFmtId="0" fontId="18" fillId="112" borderId="0" xfId="0" applyFont="1" applyFill="1" applyAlignment="1">
      <alignment wrapText="1"/>
    </xf>
    <xf numFmtId="0" fontId="18" fillId="113" borderId="0" xfId="0" applyFont="1" applyFill="1" applyAlignment="1">
      <alignment wrapText="1"/>
    </xf>
    <xf numFmtId="0" fontId="18" fillId="114" borderId="0" xfId="0" applyFont="1" applyFill="1" applyAlignment="1">
      <alignment wrapText="1"/>
    </xf>
    <xf numFmtId="0" fontId="18" fillId="115" borderId="0" xfId="0" applyFont="1" applyFill="1" applyAlignment="1">
      <alignment wrapText="1"/>
    </xf>
    <xf numFmtId="0" fontId="18" fillId="116" borderId="0" xfId="0" applyFont="1" applyFill="1" applyAlignment="1">
      <alignment wrapText="1"/>
    </xf>
    <xf numFmtId="0" fontId="18" fillId="117" borderId="0" xfId="0" applyFont="1" applyFill="1" applyAlignment="1">
      <alignment wrapText="1"/>
    </xf>
    <xf numFmtId="0" fontId="18" fillId="118" borderId="0" xfId="0" applyFont="1" applyFill="1" applyAlignment="1">
      <alignment wrapText="1"/>
    </xf>
    <xf numFmtId="0" fontId="18" fillId="119" borderId="0" xfId="0" applyFont="1" applyFill="1" applyAlignment="1">
      <alignment wrapText="1"/>
    </xf>
    <xf numFmtId="0" fontId="18" fillId="120" borderId="0" xfId="0" applyFont="1" applyFill="1" applyAlignment="1">
      <alignment wrapText="1"/>
    </xf>
    <xf numFmtId="0" fontId="18" fillId="121" borderId="0" xfId="0" applyFont="1" applyFill="1" applyAlignment="1">
      <alignment wrapText="1"/>
    </xf>
    <xf numFmtId="0" fontId="18" fillId="122" borderId="0" xfId="0" applyFont="1" applyFill="1" applyAlignment="1">
      <alignment wrapText="1"/>
    </xf>
    <xf numFmtId="0" fontId="18" fillId="123" borderId="0" xfId="0" applyFont="1" applyFill="1" applyAlignment="1">
      <alignment wrapText="1"/>
    </xf>
    <xf numFmtId="0" fontId="18" fillId="124" borderId="0" xfId="0" applyFont="1" applyFill="1" applyAlignment="1">
      <alignment wrapText="1"/>
    </xf>
    <xf numFmtId="0" fontId="18" fillId="125" borderId="0" xfId="0" applyFont="1" applyFill="1" applyAlignment="1">
      <alignment wrapText="1"/>
    </xf>
    <xf numFmtId="0" fontId="18" fillId="126" borderId="0" xfId="0" applyFont="1" applyFill="1" applyAlignment="1">
      <alignment wrapText="1"/>
    </xf>
    <xf numFmtId="0" fontId="18" fillId="127" borderId="0" xfId="0" applyFont="1" applyFill="1" applyAlignment="1">
      <alignment wrapText="1"/>
    </xf>
    <xf numFmtId="0" fontId="18" fillId="128" borderId="0" xfId="0" applyFont="1" applyFill="1" applyAlignment="1">
      <alignment wrapText="1"/>
    </xf>
    <xf numFmtId="0" fontId="18" fillId="129" borderId="0" xfId="0" applyFont="1" applyFill="1" applyAlignment="1">
      <alignment wrapText="1"/>
    </xf>
    <xf numFmtId="0" fontId="18" fillId="130" borderId="0" xfId="0" applyFont="1" applyFill="1" applyAlignment="1">
      <alignment wrapText="1"/>
    </xf>
    <xf numFmtId="0" fontId="22" fillId="0" borderId="0" xfId="0" applyFont="1"/>
    <xf numFmtId="0" fontId="24" fillId="0" borderId="0" xfId="0" applyFont="1"/>
    <xf numFmtId="0" fontId="23" fillId="0" borderId="0" xfId="0" applyFont="1"/>
    <xf numFmtId="0" fontId="25" fillId="0" borderId="0" xfId="0" applyFont="1"/>
    <xf numFmtId="0" fontId="26" fillId="0" borderId="0" xfId="0" applyFont="1"/>
    <xf numFmtId="0" fontId="27" fillId="0" borderId="0" xfId="0" applyFont="1"/>
    <xf numFmtId="0" fontId="28" fillId="0" borderId="0" xfId="0" applyFont="1"/>
    <xf numFmtId="0" fontId="29" fillId="0" borderId="0" xfId="0" applyFont="1"/>
    <xf numFmtId="0" fontId="30" fillId="0" borderId="0" xfId="0" applyFont="1"/>
    <xf numFmtId="0" fontId="31" fillId="0" borderId="0" xfId="0" applyFont="1"/>
    <xf numFmtId="0" fontId="32" fillId="0" borderId="0" xfId="0" applyFont="1"/>
    <xf numFmtId="0" fontId="33" fillId="0" borderId="0" xfId="0" applyFont="1"/>
    <xf numFmtId="0" fontId="0" fillId="0" borderId="11" xfId="0" applyBorder="1"/>
    <xf numFmtId="0" fontId="0" fillId="0" borderId="12" xfId="0" applyBorder="1"/>
    <xf numFmtId="0" fontId="0" fillId="0" borderId="13" xfId="0" applyBorder="1"/>
    <xf numFmtId="0" fontId="33" fillId="0" borderId="14" xfId="0" applyFont="1" applyBorder="1"/>
    <xf numFmtId="0" fontId="33" fillId="0" borderId="16" xfId="0" applyFont="1" applyBorder="1"/>
    <xf numFmtId="0" fontId="0" fillId="0" borderId="15" xfId="0" applyBorder="1"/>
    <xf numFmtId="0" fontId="0" fillId="0" borderId="18" xfId="0" applyBorder="1"/>
    <xf numFmtId="0" fontId="0" fillId="0" borderId="19" xfId="0" applyBorder="1"/>
    <xf numFmtId="0" fontId="0" fillId="0" borderId="20" xfId="0" applyBorder="1"/>
    <xf numFmtId="0" fontId="0" fillId="0" borderId="21" xfId="0" applyBorder="1"/>
    <xf numFmtId="0" fontId="33" fillId="0" borderId="22" xfId="0" applyFont="1" applyBorder="1"/>
    <xf numFmtId="0" fontId="33" fillId="0" borderId="23" xfId="0" applyFont="1" applyBorder="1"/>
    <xf numFmtId="0" fontId="18" fillId="0" borderId="10" xfId="0" applyFont="1" applyBorder="1" applyAlignment="1">
      <alignment wrapText="1"/>
    </xf>
    <xf numFmtId="0" fontId="33" fillId="0" borderId="24" xfId="0" applyFont="1" applyBorder="1"/>
    <xf numFmtId="0" fontId="33" fillId="0" borderId="25" xfId="0" applyFont="1" applyBorder="1"/>
    <xf numFmtId="0" fontId="33" fillId="0" borderId="26" xfId="0" applyFont="1" applyBorder="1"/>
    <xf numFmtId="0" fontId="33" fillId="0" borderId="27" xfId="0" applyFont="1" applyBorder="1"/>
    <xf numFmtId="0" fontId="33" fillId="0" borderId="28" xfId="0" applyFont="1" applyBorder="1"/>
    <xf numFmtId="0" fontId="33" fillId="0" borderId="29" xfId="0" applyFont="1" applyBorder="1"/>
    <xf numFmtId="0" fontId="33" fillId="0" borderId="30" xfId="0" applyFont="1" applyBorder="1"/>
    <xf numFmtId="0" fontId="33" fillId="0" borderId="31" xfId="0" applyFont="1" applyBorder="1"/>
    <xf numFmtId="0" fontId="33" fillId="0" borderId="32" xfId="0" applyFont="1" applyBorder="1"/>
    <xf numFmtId="0" fontId="0" fillId="0" borderId="14" xfId="0" applyBorder="1"/>
    <xf numFmtId="0" fontId="0" fillId="0" borderId="16" xfId="0" applyBorder="1"/>
    <xf numFmtId="0" fontId="0" fillId="0" borderId="17" xfId="0" applyBorder="1"/>
    <xf numFmtId="0" fontId="0" fillId="0" borderId="14" xfId="0" applyBorder="1" applyAlignment="1">
      <alignment horizontal="right"/>
    </xf>
    <xf numFmtId="0" fontId="0" fillId="0" borderId="0" xfId="0" applyAlignment="1">
      <alignment horizontal="right"/>
    </xf>
    <xf numFmtId="0" fontId="0" fillId="0" borderId="15" xfId="0" applyBorder="1" applyAlignment="1">
      <alignment horizontal="right"/>
    </xf>
    <xf numFmtId="0" fontId="0" fillId="0" borderId="16" xfId="0" applyBorder="1" applyAlignment="1">
      <alignment horizontal="right"/>
    </xf>
    <xf numFmtId="0" fontId="0" fillId="0" borderId="17" xfId="0" applyBorder="1" applyAlignment="1">
      <alignment horizontal="right"/>
    </xf>
    <xf numFmtId="0" fontId="0" fillId="0" borderId="18" xfId="0" applyBorder="1" applyAlignment="1">
      <alignment horizontal="right"/>
    </xf>
    <xf numFmtId="0" fontId="18" fillId="0" borderId="0" xfId="0" applyFont="1" applyAlignment="1">
      <alignment wrapText="1"/>
    </xf>
    <xf numFmtId="0" fontId="0" fillId="0" borderId="0" xfId="0"/>
    <xf numFmtId="0" fontId="21" fillId="0" borderId="0" xfId="0" applyFont="1" applyAlignment="1">
      <alignment horizontal="center" vertical="center"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haredStrings" Target="sharedStrings.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3" Type="http://schemas.openxmlformats.org/officeDocument/2006/relationships/image" Target="file:////var/folders/wb/stch18dn2z1gw9s72md26f740000gn/T/com.microsoft.Excel/Content.MSO/2CC4EEE9.tmp" TargetMode="External"/><Relationship Id="rId18" Type="http://schemas.openxmlformats.org/officeDocument/2006/relationships/image" Target="file:////var/folders/wb/stch18dn2z1gw9s72md26f740000gn/T/com.microsoft.Excel/Content.MSO/F1704782.tmp" TargetMode="External"/><Relationship Id="rId26" Type="http://schemas.openxmlformats.org/officeDocument/2006/relationships/image" Target="file:////var/folders/wb/stch18dn2z1gw9s72md26f740000gn/T/com.microsoft.Excel/Content.MSO/E07FE11A.tmp" TargetMode="External"/><Relationship Id="rId39" Type="http://schemas.openxmlformats.org/officeDocument/2006/relationships/image" Target="file:////var/folders/wb/stch18dn2z1gw9s72md26f740000gn/T/com.microsoft.Excel/Content.MSO/ACF65E87.tmp" TargetMode="External"/><Relationship Id="rId21" Type="http://schemas.openxmlformats.org/officeDocument/2006/relationships/image" Target="file:////var/folders/wb/stch18dn2z1gw9s72md26f740000gn/T/com.microsoft.Excel/Content.MSO/42887561.tmp" TargetMode="External"/><Relationship Id="rId34" Type="http://schemas.openxmlformats.org/officeDocument/2006/relationships/image" Target="file:////var/folders/wb/stch18dn2z1gw9s72md26f740000gn/T/com.microsoft.Excel/Content.MSO/D3DAADB2.tmp" TargetMode="External"/><Relationship Id="rId42" Type="http://schemas.openxmlformats.org/officeDocument/2006/relationships/image" Target="file:////var/folders/wb/stch18dn2z1gw9s72md26f740000gn/T/com.microsoft.Excel/Content.MSO/9FE70D4A.tmp" TargetMode="External"/><Relationship Id="rId47" Type="http://schemas.openxmlformats.org/officeDocument/2006/relationships/image" Target="file:////var/folders/wb/stch18dn2z1gw9s72md26f740000gn/T/com.microsoft.Excel/Content.MSO/F075D8BF.tmp" TargetMode="External"/><Relationship Id="rId7" Type="http://schemas.openxmlformats.org/officeDocument/2006/relationships/image" Target="file:////var/folders/wb/stch18dn2z1gw9s72md26f740000gn/T/com.microsoft.Excel/Content.MSO/F6A3BBA7.tmp" TargetMode="External"/><Relationship Id="rId2" Type="http://schemas.openxmlformats.org/officeDocument/2006/relationships/image" Target="file:////var/folders/wb/stch18dn2z1gw9s72md26f740000gn/T/com.microsoft.Excel/Content.MSO/25952D52.tmp" TargetMode="External"/><Relationship Id="rId16" Type="http://schemas.openxmlformats.org/officeDocument/2006/relationships/image" Target="file:////var/folders/wb/stch18dn2z1gw9s72md26f740000gn/T/com.microsoft.Excel/Content.MSO/3EB6EA54.tmp" TargetMode="External"/><Relationship Id="rId29" Type="http://schemas.openxmlformats.org/officeDocument/2006/relationships/image" Target="file:////var/folders/wb/stch18dn2z1gw9s72md26f740000gn/T/com.microsoft.Excel/Content.MSO/B6F4CAD9.tmp" TargetMode="External"/><Relationship Id="rId1" Type="http://schemas.openxmlformats.org/officeDocument/2006/relationships/image" Target="file:////var/folders/wb/stch18dn2z1gw9s72md26f740000gn/T/com.microsoft.Excel/Content.MSO/383FB755.tmp" TargetMode="External"/><Relationship Id="rId6" Type="http://schemas.openxmlformats.org/officeDocument/2006/relationships/image" Target="file:////var/folders/wb/stch18dn2z1gw9s72md26f740000gn/T/com.microsoft.Excel/Content.MSO/F9C076BE.tmp" TargetMode="External"/><Relationship Id="rId11" Type="http://schemas.openxmlformats.org/officeDocument/2006/relationships/image" Target="file:////var/folders/wb/stch18dn2z1gw9s72md26f740000gn/T/com.microsoft.Excel/Content.MSO/C89AC7E3.tmp" TargetMode="External"/><Relationship Id="rId24" Type="http://schemas.openxmlformats.org/officeDocument/2006/relationships/image" Target="file:////var/folders/wb/stch18dn2z1gw9s72md26f740000gn/T/com.microsoft.Excel/Content.MSO/ECFCDE2C.tmp" TargetMode="External"/><Relationship Id="rId32" Type="http://schemas.openxmlformats.org/officeDocument/2006/relationships/image" Target="file:////var/folders/wb/stch18dn2z1gw9s72md26f740000gn/T/com.microsoft.Excel/Content.MSO/52994D04.tmp" TargetMode="External"/><Relationship Id="rId37" Type="http://schemas.openxmlformats.org/officeDocument/2006/relationships/image" Target="file:////var/folders/wb/stch18dn2z1gw9s72md26f740000gn/T/com.microsoft.Excel/Content.MSO/2623CF51.tmp" TargetMode="External"/><Relationship Id="rId40" Type="http://schemas.openxmlformats.org/officeDocument/2006/relationships/image" Target="file:////var/folders/wb/stch18dn2z1gw9s72md26f740000gn/T/com.microsoft.Excel/Content.MSO/2D5B96DC.tmp" TargetMode="External"/><Relationship Id="rId45" Type="http://schemas.openxmlformats.org/officeDocument/2006/relationships/image" Target="file:////var/folders/wb/stch18dn2z1gw9s72md26f740000gn/T/com.microsoft.Excel/Content.MSO/8F6B62C9.tmp" TargetMode="External"/><Relationship Id="rId5" Type="http://schemas.openxmlformats.org/officeDocument/2006/relationships/image" Target="file:////var/folders/wb/stch18dn2z1gw9s72md26f740000gn/T/com.microsoft.Excel/Content.MSO/C54C5771.tmp" TargetMode="External"/><Relationship Id="rId15" Type="http://schemas.openxmlformats.org/officeDocument/2006/relationships/image" Target="file:////var/folders/wb/stch18dn2z1gw9s72md26f740000gn/T/com.microsoft.Excel/Content.MSO/85EED9DF.tmp" TargetMode="External"/><Relationship Id="rId23" Type="http://schemas.openxmlformats.org/officeDocument/2006/relationships/image" Target="file:////var/folders/wb/stch18dn2z1gw9s72md26f740000gn/T/com.microsoft.Excel/Content.MSO/5A95BF17.tmp" TargetMode="External"/><Relationship Id="rId28" Type="http://schemas.openxmlformats.org/officeDocument/2006/relationships/image" Target="file:////var/folders/wb/stch18dn2z1gw9s72md26f740000gn/T/com.microsoft.Excel/Content.MSO/BD1A5838.tmp" TargetMode="External"/><Relationship Id="rId36" Type="http://schemas.openxmlformats.org/officeDocument/2006/relationships/image" Target="file:////var/folders/wb/stch18dn2z1gw9s72md26f740000gn/T/com.microsoft.Excel/Content.MSO/6ED20890.tmp" TargetMode="External"/><Relationship Id="rId10" Type="http://schemas.openxmlformats.org/officeDocument/2006/relationships/image" Target="file:////var/folders/wb/stch18dn2z1gw9s72md26f740000gn/T/com.microsoft.Excel/Content.MSO/B59180EA.tmp" TargetMode="External"/><Relationship Id="rId19" Type="http://schemas.openxmlformats.org/officeDocument/2006/relationships/image" Target="file:////var/folders/wb/stch18dn2z1gw9s72md26f740000gn/T/com.microsoft.Excel/Content.MSO/FAE36D9B.tmp" TargetMode="External"/><Relationship Id="rId31" Type="http://schemas.openxmlformats.org/officeDocument/2006/relationships/image" Target="file:////var/folders/wb/stch18dn2z1gw9s72md26f740000gn/T/com.microsoft.Excel/Content.MSO/9F114B4F.tmp" TargetMode="External"/><Relationship Id="rId44" Type="http://schemas.openxmlformats.org/officeDocument/2006/relationships/image" Target="file:////var/folders/wb/stch18dn2z1gw9s72md26f740000gn/T/com.microsoft.Excel/Content.MSO/2697C3E8.tmp" TargetMode="External"/><Relationship Id="rId4" Type="http://schemas.openxmlformats.org/officeDocument/2006/relationships/image" Target="file:////var/folders/wb/stch18dn2z1gw9s72md26f740000gn/T/com.microsoft.Excel/Content.MSO/B3CDC930.tmp" TargetMode="External"/><Relationship Id="rId9" Type="http://schemas.openxmlformats.org/officeDocument/2006/relationships/image" Target="file:////var/folders/wb/stch18dn2z1gw9s72md26f740000gn/T/com.microsoft.Excel/Content.MSO/B7284B4D.tmp" TargetMode="External"/><Relationship Id="rId14" Type="http://schemas.openxmlformats.org/officeDocument/2006/relationships/image" Target="file:////var/folders/wb/stch18dn2z1gw9s72md26f740000gn/T/com.microsoft.Excel/Content.MSO/11F1F7D6.tmp" TargetMode="External"/><Relationship Id="rId22" Type="http://schemas.openxmlformats.org/officeDocument/2006/relationships/image" Target="file:////var/folders/wb/stch18dn2z1gw9s72md26f740000gn/T/com.microsoft.Excel/Content.MSO/362B9BEE.tmp" TargetMode="External"/><Relationship Id="rId27" Type="http://schemas.openxmlformats.org/officeDocument/2006/relationships/image" Target="file:////var/folders/wb/stch18dn2z1gw9s72md26f740000gn/T/com.microsoft.Excel/Content.MSO/55B8CA53.tmp" TargetMode="External"/><Relationship Id="rId30" Type="http://schemas.openxmlformats.org/officeDocument/2006/relationships/image" Target="file:////var/folders/wb/stch18dn2z1gw9s72md26f740000gn/T/com.microsoft.Excel/Content.MSO/A271C306.tmp" TargetMode="External"/><Relationship Id="rId35" Type="http://schemas.openxmlformats.org/officeDocument/2006/relationships/image" Target="file:////var/folders/wb/stch18dn2z1gw9s72md26f740000gn/T/com.microsoft.Excel/Content.MSO/D9B1BE0B.tmp" TargetMode="External"/><Relationship Id="rId43" Type="http://schemas.openxmlformats.org/officeDocument/2006/relationships/image" Target="file:////var/folders/wb/stch18dn2z1gw9s72md26f740000gn/T/com.microsoft.Excel/Content.MSO/7A4128C3.tmp" TargetMode="External"/><Relationship Id="rId48" Type="http://schemas.openxmlformats.org/officeDocument/2006/relationships/image" Target="file:////var/folders/wb/stch18dn2z1gw9s72md26f740000gn/T/com.microsoft.Excel/Content.MSO/54FF1BB4.tmp" TargetMode="External"/><Relationship Id="rId8" Type="http://schemas.openxmlformats.org/officeDocument/2006/relationships/image" Target="file:////var/folders/wb/stch18dn2z1gw9s72md26f740000gn/T/com.microsoft.Excel/Content.MSO/1664117C.tmp" TargetMode="External"/><Relationship Id="rId3" Type="http://schemas.openxmlformats.org/officeDocument/2006/relationships/image" Target="file:////var/folders/wb/stch18dn2z1gw9s72md26f740000gn/T/com.microsoft.Excel/Content.MSO/C5A3F92B.tmp" TargetMode="External"/><Relationship Id="rId12" Type="http://schemas.openxmlformats.org/officeDocument/2006/relationships/image" Target="file:////var/folders/wb/stch18dn2z1gw9s72md26f740000gn/T/com.microsoft.Excel/Content.MSO/60AB9888.tmp" TargetMode="External"/><Relationship Id="rId17" Type="http://schemas.openxmlformats.org/officeDocument/2006/relationships/image" Target="file:////var/folders/wb/stch18dn2z1gw9s72md26f740000gn/T/com.microsoft.Excel/Content.MSO/F2DB5E45.tmp" TargetMode="External"/><Relationship Id="rId25" Type="http://schemas.openxmlformats.org/officeDocument/2006/relationships/image" Target="file:////var/folders/wb/stch18dn2z1gw9s72md26f740000gn/T/com.microsoft.Excel/Content.MSO/7BA8D03D.tmp" TargetMode="External"/><Relationship Id="rId33" Type="http://schemas.openxmlformats.org/officeDocument/2006/relationships/image" Target="file:////var/folders/wb/stch18dn2z1gw9s72md26f740000gn/T/com.microsoft.Excel/Content.MSO/CBDC8135.tmp" TargetMode="External"/><Relationship Id="rId38" Type="http://schemas.openxmlformats.org/officeDocument/2006/relationships/image" Target="file:////var/folders/wb/stch18dn2z1gw9s72md26f740000gn/T/com.microsoft.Excel/Content.MSO/7354CD1E.tmp" TargetMode="External"/><Relationship Id="rId46" Type="http://schemas.openxmlformats.org/officeDocument/2006/relationships/image" Target="file:////var/folders/wb/stch18dn2z1gw9s72md26f740000gn/T/com.microsoft.Excel/Content.MSO/B7711A36.tmp" TargetMode="External"/><Relationship Id="rId20" Type="http://schemas.openxmlformats.org/officeDocument/2006/relationships/image" Target="file:////var/folders/wb/stch18dn2z1gw9s72md26f740000gn/T/com.microsoft.Excel/Content.MSO/F5B52E0.tmp" TargetMode="External"/><Relationship Id="rId41" Type="http://schemas.openxmlformats.org/officeDocument/2006/relationships/image" Target="file:////var/folders/wb/stch18dn2z1gw9s72md26f740000gn/T/com.microsoft.Excel/Content.MSO/873E512D.tmp" TargetMode="External"/></Relationships>
</file>

<file path=xl/drawings/_rels/drawing2.xml.rels><?xml version="1.0" encoding="UTF-8" standalone="yes"?>
<Relationships xmlns="http://schemas.openxmlformats.org/package/2006/relationships"><Relationship Id="rId8" Type="http://schemas.openxmlformats.org/officeDocument/2006/relationships/hyperlink" Target="https://en.wikipedia.org/wiki/United_Kingdom" TargetMode="External"/><Relationship Id="rId13" Type="http://schemas.openxmlformats.org/officeDocument/2006/relationships/hyperlink" Target="https://en.wikipedia.org/wiki/Singapore" TargetMode="External"/><Relationship Id="rId18" Type="http://schemas.openxmlformats.org/officeDocument/2006/relationships/hyperlink" Target="https://en.wikipedia.org/wiki/Australia" TargetMode="External"/><Relationship Id="rId26" Type="http://schemas.openxmlformats.org/officeDocument/2006/relationships/hyperlink" Target="https://en.wikipedia.org/wiki/Argentina" TargetMode="External"/><Relationship Id="rId3" Type="http://schemas.openxmlformats.org/officeDocument/2006/relationships/hyperlink" Target="https://en.wikipedia.org/wiki/Italy" TargetMode="External"/><Relationship Id="rId21" Type="http://schemas.openxmlformats.org/officeDocument/2006/relationships/hyperlink" Target="https://en.wikipedia.org/wiki/Germany" TargetMode="External"/><Relationship Id="rId7" Type="http://schemas.openxmlformats.org/officeDocument/2006/relationships/hyperlink" Target="https://en.wikipedia.org/wiki/Austria" TargetMode="External"/><Relationship Id="rId12" Type="http://schemas.openxmlformats.org/officeDocument/2006/relationships/hyperlink" Target="https://en.wikipedia.org/wiki/Azerbaijan" TargetMode="External"/><Relationship Id="rId17" Type="http://schemas.openxmlformats.org/officeDocument/2006/relationships/hyperlink" Target="https://en.wikipedia.org/wiki/United_Arab_Emirates" TargetMode="External"/><Relationship Id="rId25" Type="http://schemas.openxmlformats.org/officeDocument/2006/relationships/image" Target="../media/image2.png"/><Relationship Id="rId2" Type="http://schemas.openxmlformats.org/officeDocument/2006/relationships/hyperlink" Target="https://en.wikipedia.org/wiki/United_States" TargetMode="External"/><Relationship Id="rId16" Type="http://schemas.openxmlformats.org/officeDocument/2006/relationships/hyperlink" Target="https://en.wikipedia.org/wiki/Qatar" TargetMode="External"/><Relationship Id="rId20" Type="http://schemas.openxmlformats.org/officeDocument/2006/relationships/hyperlink" Target="https://en.wikipedia.org/wiki/Thailand" TargetMode="External"/><Relationship Id="rId1" Type="http://schemas.openxmlformats.org/officeDocument/2006/relationships/hyperlink" Target="https://en.wikipedia.org/wiki/Saudi_Arabia" TargetMode="External"/><Relationship Id="rId6" Type="http://schemas.openxmlformats.org/officeDocument/2006/relationships/hyperlink" Target="https://en.wikipedia.org/wiki/Canada" TargetMode="External"/><Relationship Id="rId11" Type="http://schemas.openxmlformats.org/officeDocument/2006/relationships/hyperlink" Target="https://en.wikipedia.org/wiki/Netherlands" TargetMode="External"/><Relationship Id="rId24" Type="http://schemas.openxmlformats.org/officeDocument/2006/relationships/hyperlink" Target="https://en.wikipedia.org/wiki/Japan" TargetMode="External"/><Relationship Id="rId5" Type="http://schemas.openxmlformats.org/officeDocument/2006/relationships/hyperlink" Target="https://en.wikipedia.org/wiki/Spain" TargetMode="External"/><Relationship Id="rId15" Type="http://schemas.openxmlformats.org/officeDocument/2006/relationships/hyperlink" Target="https://en.wikipedia.org/wiki/Brazil" TargetMode="External"/><Relationship Id="rId23" Type="http://schemas.openxmlformats.org/officeDocument/2006/relationships/hyperlink" Target="https://en.wikipedia.org/wiki/New_Zealand" TargetMode="External"/><Relationship Id="rId10" Type="http://schemas.openxmlformats.org/officeDocument/2006/relationships/hyperlink" Target="https://en.wikipedia.org/wiki/Hungary" TargetMode="External"/><Relationship Id="rId19" Type="http://schemas.openxmlformats.org/officeDocument/2006/relationships/image" Target="../media/image1.png"/><Relationship Id="rId4" Type="http://schemas.openxmlformats.org/officeDocument/2006/relationships/hyperlink" Target="https://en.wikipedia.org/wiki/Monaco" TargetMode="External"/><Relationship Id="rId9" Type="http://schemas.openxmlformats.org/officeDocument/2006/relationships/hyperlink" Target="https://en.wikipedia.org/wiki/Belgium" TargetMode="External"/><Relationship Id="rId14" Type="http://schemas.openxmlformats.org/officeDocument/2006/relationships/hyperlink" Target="https://en.wikipedia.org/wiki/Mexico" TargetMode="External"/><Relationship Id="rId22" Type="http://schemas.openxmlformats.org/officeDocument/2006/relationships/hyperlink" Target="https://en.wikipedia.org/wiki/France" TargetMode="External"/></Relationships>
</file>

<file path=xl/drawings/_rels/drawing3.xml.rels><?xml version="1.0" encoding="UTF-8" standalone="yes"?>
<Relationships xmlns="http://schemas.openxmlformats.org/package/2006/relationships"><Relationship Id="rId8" Type="http://schemas.openxmlformats.org/officeDocument/2006/relationships/hyperlink" Target="https://en.wikipedia.org/wiki/United_Kingdom" TargetMode="External"/><Relationship Id="rId13" Type="http://schemas.openxmlformats.org/officeDocument/2006/relationships/hyperlink" Target="https://en.wikipedia.org/wiki/Singapore" TargetMode="External"/><Relationship Id="rId18" Type="http://schemas.openxmlformats.org/officeDocument/2006/relationships/hyperlink" Target="https://en.wikipedia.org/wiki/Thailand" TargetMode="External"/><Relationship Id="rId26" Type="http://schemas.openxmlformats.org/officeDocument/2006/relationships/image" Target="../media/image2.png"/><Relationship Id="rId3" Type="http://schemas.openxmlformats.org/officeDocument/2006/relationships/hyperlink" Target="https://en.wikipedia.org/wiki/Italy" TargetMode="External"/><Relationship Id="rId21" Type="http://schemas.openxmlformats.org/officeDocument/2006/relationships/hyperlink" Target="https://en.wikipedia.org/wiki/New_Zealand" TargetMode="External"/><Relationship Id="rId7" Type="http://schemas.openxmlformats.org/officeDocument/2006/relationships/hyperlink" Target="https://en.wikipedia.org/wiki/Austria" TargetMode="External"/><Relationship Id="rId12" Type="http://schemas.openxmlformats.org/officeDocument/2006/relationships/hyperlink" Target="https://en.wikipedia.org/wiki/Azerbaijan" TargetMode="External"/><Relationship Id="rId17" Type="http://schemas.openxmlformats.org/officeDocument/2006/relationships/hyperlink" Target="https://en.wikipedia.org/wiki/United_Arab_Emirates" TargetMode="External"/><Relationship Id="rId25" Type="http://schemas.openxmlformats.org/officeDocument/2006/relationships/hyperlink" Target="https://en.wikipedia.org/wiki/Japan" TargetMode="External"/><Relationship Id="rId2" Type="http://schemas.openxmlformats.org/officeDocument/2006/relationships/hyperlink" Target="https://en.wikipedia.org/wiki/United_States" TargetMode="External"/><Relationship Id="rId16" Type="http://schemas.openxmlformats.org/officeDocument/2006/relationships/hyperlink" Target="https://en.wikipedia.org/wiki/Qatar" TargetMode="External"/><Relationship Id="rId20" Type="http://schemas.openxmlformats.org/officeDocument/2006/relationships/hyperlink" Target="https://en.wikipedia.org/wiki/France" TargetMode="External"/><Relationship Id="rId1" Type="http://schemas.openxmlformats.org/officeDocument/2006/relationships/hyperlink" Target="https://en.wikipedia.org/wiki/Saudi_Arabia" TargetMode="External"/><Relationship Id="rId6" Type="http://schemas.openxmlformats.org/officeDocument/2006/relationships/hyperlink" Target="https://en.wikipedia.org/wiki/Canada" TargetMode="External"/><Relationship Id="rId11" Type="http://schemas.openxmlformats.org/officeDocument/2006/relationships/hyperlink" Target="https://en.wikipedia.org/wiki/Netherlands" TargetMode="External"/><Relationship Id="rId24" Type="http://schemas.openxmlformats.org/officeDocument/2006/relationships/image" Target="../media/image1.png"/><Relationship Id="rId5" Type="http://schemas.openxmlformats.org/officeDocument/2006/relationships/hyperlink" Target="https://en.wikipedia.org/wiki/Spain" TargetMode="External"/><Relationship Id="rId15" Type="http://schemas.openxmlformats.org/officeDocument/2006/relationships/hyperlink" Target="https://en.wikipedia.org/wiki/Brazil" TargetMode="External"/><Relationship Id="rId23" Type="http://schemas.openxmlformats.org/officeDocument/2006/relationships/hyperlink" Target="https://en.wikipedia.org/wiki/Australia" TargetMode="External"/><Relationship Id="rId10" Type="http://schemas.openxmlformats.org/officeDocument/2006/relationships/hyperlink" Target="https://en.wikipedia.org/wiki/Hungary" TargetMode="External"/><Relationship Id="rId19" Type="http://schemas.openxmlformats.org/officeDocument/2006/relationships/hyperlink" Target="https://en.wikipedia.org/wiki/Germany" TargetMode="External"/><Relationship Id="rId4" Type="http://schemas.openxmlformats.org/officeDocument/2006/relationships/hyperlink" Target="https://en.wikipedia.org/wiki/Monaco" TargetMode="External"/><Relationship Id="rId9" Type="http://schemas.openxmlformats.org/officeDocument/2006/relationships/hyperlink" Target="https://en.wikipedia.org/wiki/Belgium" TargetMode="External"/><Relationship Id="rId14" Type="http://schemas.openxmlformats.org/officeDocument/2006/relationships/hyperlink" Target="https://en.wikipedia.org/wiki/Mexico" TargetMode="External"/><Relationship Id="rId22" Type="http://schemas.openxmlformats.org/officeDocument/2006/relationships/hyperlink" Target="https://en.wikipedia.org/wiki/Argentina"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82</xdr:row>
      <xdr:rowOff>0</xdr:rowOff>
    </xdr:from>
    <xdr:to>
      <xdr:col>2</xdr:col>
      <xdr:colOff>215900</xdr:colOff>
      <xdr:row>84</xdr:row>
      <xdr:rowOff>0</xdr:rowOff>
    </xdr:to>
    <xdr:pic>
      <xdr:nvPicPr>
        <xdr:cNvPr id="2097" name="Picture 49" descr="Flag of AUS">
          <a:extLst>
            <a:ext uri="{FF2B5EF4-FFF2-40B4-BE49-F238E27FC236}">
              <a16:creationId xmlns:a16="http://schemas.microsoft.com/office/drawing/2014/main" id="{61A2356B-C396-5DF1-6D2A-7E0D31B35B7B}"/>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355600" y="17233900"/>
          <a:ext cx="558800" cy="40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84</xdr:row>
      <xdr:rowOff>0</xdr:rowOff>
    </xdr:from>
    <xdr:to>
      <xdr:col>2</xdr:col>
      <xdr:colOff>215900</xdr:colOff>
      <xdr:row>86</xdr:row>
      <xdr:rowOff>0</xdr:rowOff>
    </xdr:to>
    <xdr:pic>
      <xdr:nvPicPr>
        <xdr:cNvPr id="2098" name="Picture 50" descr="Flag of AUS">
          <a:extLst>
            <a:ext uri="{FF2B5EF4-FFF2-40B4-BE49-F238E27FC236}">
              <a16:creationId xmlns:a16="http://schemas.microsoft.com/office/drawing/2014/main" id="{6B4BABBD-2D59-6DA0-3F2D-745135EECCEC}"/>
            </a:ext>
          </a:extLst>
        </xdr:cNvPr>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355600" y="17640300"/>
          <a:ext cx="558800" cy="40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82</xdr:row>
      <xdr:rowOff>0</xdr:rowOff>
    </xdr:from>
    <xdr:to>
      <xdr:col>3</xdr:col>
      <xdr:colOff>215900</xdr:colOff>
      <xdr:row>84</xdr:row>
      <xdr:rowOff>0</xdr:rowOff>
    </xdr:to>
    <xdr:pic>
      <xdr:nvPicPr>
        <xdr:cNvPr id="2099" name="Picture 51" descr="Flag of CHN">
          <a:extLst>
            <a:ext uri="{FF2B5EF4-FFF2-40B4-BE49-F238E27FC236}">
              <a16:creationId xmlns:a16="http://schemas.microsoft.com/office/drawing/2014/main" id="{F57FD5AD-DB94-7C24-F222-3F9DEF7A55C4}"/>
            </a:ext>
          </a:extLst>
        </xdr:cNvPr>
        <xdr:cNvPicPr>
          <a:picLocks noChangeAspect="1" noChangeArrowheads="1"/>
        </xdr:cNvPicPr>
      </xdr:nvPicPr>
      <xdr:blipFill>
        <a:blip xmlns:r="http://schemas.openxmlformats.org/officeDocument/2006/relationships" r:link="rId3">
          <a:extLst>
            <a:ext uri="{28A0092B-C50C-407E-A947-70E740481C1C}">
              <a14:useLocalDpi xmlns:a14="http://schemas.microsoft.com/office/drawing/2010/main" val="0"/>
            </a:ext>
          </a:extLst>
        </a:blip>
        <a:srcRect/>
        <a:stretch>
          <a:fillRect/>
        </a:stretch>
      </xdr:blipFill>
      <xdr:spPr bwMode="auto">
        <a:xfrm>
          <a:off x="698500" y="17233900"/>
          <a:ext cx="558800" cy="40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84</xdr:row>
      <xdr:rowOff>0</xdr:rowOff>
    </xdr:from>
    <xdr:to>
      <xdr:col>3</xdr:col>
      <xdr:colOff>215900</xdr:colOff>
      <xdr:row>86</xdr:row>
      <xdr:rowOff>0</xdr:rowOff>
    </xdr:to>
    <xdr:pic>
      <xdr:nvPicPr>
        <xdr:cNvPr id="2100" name="Picture 52" descr="Flag of CHN">
          <a:extLst>
            <a:ext uri="{FF2B5EF4-FFF2-40B4-BE49-F238E27FC236}">
              <a16:creationId xmlns:a16="http://schemas.microsoft.com/office/drawing/2014/main" id="{9AB34B5B-EF67-4891-24E1-FFBA2BF7BC5D}"/>
            </a:ext>
          </a:extLst>
        </xdr:cNvPr>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698500" y="17640300"/>
          <a:ext cx="558800" cy="40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82</xdr:row>
      <xdr:rowOff>0</xdr:rowOff>
    </xdr:from>
    <xdr:to>
      <xdr:col>4</xdr:col>
      <xdr:colOff>215900</xdr:colOff>
      <xdr:row>84</xdr:row>
      <xdr:rowOff>0</xdr:rowOff>
    </xdr:to>
    <xdr:pic>
      <xdr:nvPicPr>
        <xdr:cNvPr id="2101" name="Picture 53" descr="Flag of JPN">
          <a:extLst>
            <a:ext uri="{FF2B5EF4-FFF2-40B4-BE49-F238E27FC236}">
              <a16:creationId xmlns:a16="http://schemas.microsoft.com/office/drawing/2014/main" id="{ED1FF015-C2C6-8E28-B95F-45D2D441141F}"/>
            </a:ext>
          </a:extLst>
        </xdr:cNvPr>
        <xdr:cNvPicPr>
          <a:picLocks noChangeAspect="1" noChangeArrowheads="1"/>
        </xdr:cNvPicPr>
      </xdr:nvPicPr>
      <xdr:blipFill>
        <a:blip xmlns:r="http://schemas.openxmlformats.org/officeDocument/2006/relationships" r:link="rId5">
          <a:extLst>
            <a:ext uri="{28A0092B-C50C-407E-A947-70E740481C1C}">
              <a14:useLocalDpi xmlns:a14="http://schemas.microsoft.com/office/drawing/2010/main" val="0"/>
            </a:ext>
          </a:extLst>
        </a:blip>
        <a:srcRect/>
        <a:stretch>
          <a:fillRect/>
        </a:stretch>
      </xdr:blipFill>
      <xdr:spPr bwMode="auto">
        <a:xfrm>
          <a:off x="1041400" y="17233900"/>
          <a:ext cx="558800" cy="40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84</xdr:row>
      <xdr:rowOff>0</xdr:rowOff>
    </xdr:from>
    <xdr:to>
      <xdr:col>4</xdr:col>
      <xdr:colOff>215900</xdr:colOff>
      <xdr:row>86</xdr:row>
      <xdr:rowOff>0</xdr:rowOff>
    </xdr:to>
    <xdr:pic>
      <xdr:nvPicPr>
        <xdr:cNvPr id="2102" name="Picture 54" descr="Flag of JPN">
          <a:extLst>
            <a:ext uri="{FF2B5EF4-FFF2-40B4-BE49-F238E27FC236}">
              <a16:creationId xmlns:a16="http://schemas.microsoft.com/office/drawing/2014/main" id="{735A8830-6D92-C0B8-228C-2BD70282CD27}"/>
            </a:ext>
          </a:extLst>
        </xdr:cNvPr>
        <xdr:cNvPicPr>
          <a:picLocks noChangeAspect="1" noChangeArrowheads="1"/>
        </xdr:cNvPicPr>
      </xdr:nvPicPr>
      <xdr:blipFill>
        <a:blip xmlns:r="http://schemas.openxmlformats.org/officeDocument/2006/relationships" r:link="rId6">
          <a:extLst>
            <a:ext uri="{28A0092B-C50C-407E-A947-70E740481C1C}">
              <a14:useLocalDpi xmlns:a14="http://schemas.microsoft.com/office/drawing/2010/main" val="0"/>
            </a:ext>
          </a:extLst>
        </a:blip>
        <a:srcRect/>
        <a:stretch>
          <a:fillRect/>
        </a:stretch>
      </xdr:blipFill>
      <xdr:spPr bwMode="auto">
        <a:xfrm>
          <a:off x="1041400" y="17640300"/>
          <a:ext cx="558800" cy="40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82</xdr:row>
      <xdr:rowOff>0</xdr:rowOff>
    </xdr:from>
    <xdr:to>
      <xdr:col>5</xdr:col>
      <xdr:colOff>215900</xdr:colOff>
      <xdr:row>84</xdr:row>
      <xdr:rowOff>0</xdr:rowOff>
    </xdr:to>
    <xdr:pic>
      <xdr:nvPicPr>
        <xdr:cNvPr id="2103" name="Picture 55" descr="Flag of BHR">
          <a:extLst>
            <a:ext uri="{FF2B5EF4-FFF2-40B4-BE49-F238E27FC236}">
              <a16:creationId xmlns:a16="http://schemas.microsoft.com/office/drawing/2014/main" id="{E7EFF3C8-504D-C991-13C8-B1FEE9A3A4D5}"/>
            </a:ext>
          </a:extLst>
        </xdr:cNvPr>
        <xdr:cNvPicPr>
          <a:picLocks noChangeAspect="1" noChangeArrowheads="1"/>
        </xdr:cNvPicPr>
      </xdr:nvPicPr>
      <xdr:blipFill>
        <a:blip xmlns:r="http://schemas.openxmlformats.org/officeDocument/2006/relationships" r:link="rId7">
          <a:extLst>
            <a:ext uri="{28A0092B-C50C-407E-A947-70E740481C1C}">
              <a14:useLocalDpi xmlns:a14="http://schemas.microsoft.com/office/drawing/2010/main" val="0"/>
            </a:ext>
          </a:extLst>
        </a:blip>
        <a:srcRect/>
        <a:stretch>
          <a:fillRect/>
        </a:stretch>
      </xdr:blipFill>
      <xdr:spPr bwMode="auto">
        <a:xfrm>
          <a:off x="1384300" y="17233900"/>
          <a:ext cx="558800" cy="40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84</xdr:row>
      <xdr:rowOff>0</xdr:rowOff>
    </xdr:from>
    <xdr:to>
      <xdr:col>5</xdr:col>
      <xdr:colOff>215900</xdr:colOff>
      <xdr:row>86</xdr:row>
      <xdr:rowOff>0</xdr:rowOff>
    </xdr:to>
    <xdr:pic>
      <xdr:nvPicPr>
        <xdr:cNvPr id="2104" name="Picture 56" descr="Flag of BHR">
          <a:extLst>
            <a:ext uri="{FF2B5EF4-FFF2-40B4-BE49-F238E27FC236}">
              <a16:creationId xmlns:a16="http://schemas.microsoft.com/office/drawing/2014/main" id="{C5415247-7219-8115-A730-84A88EEB33AE}"/>
            </a:ext>
          </a:extLst>
        </xdr:cNvPr>
        <xdr:cNvPicPr>
          <a:picLocks noChangeAspect="1" noChangeArrowheads="1"/>
        </xdr:cNvPicPr>
      </xdr:nvPicPr>
      <xdr:blipFill>
        <a:blip xmlns:r="http://schemas.openxmlformats.org/officeDocument/2006/relationships" r:link="rId8">
          <a:extLst>
            <a:ext uri="{28A0092B-C50C-407E-A947-70E740481C1C}">
              <a14:useLocalDpi xmlns:a14="http://schemas.microsoft.com/office/drawing/2010/main" val="0"/>
            </a:ext>
          </a:extLst>
        </a:blip>
        <a:srcRect/>
        <a:stretch>
          <a:fillRect/>
        </a:stretch>
      </xdr:blipFill>
      <xdr:spPr bwMode="auto">
        <a:xfrm>
          <a:off x="1384300" y="17640300"/>
          <a:ext cx="558800" cy="40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82</xdr:row>
      <xdr:rowOff>0</xdr:rowOff>
    </xdr:from>
    <xdr:to>
      <xdr:col>6</xdr:col>
      <xdr:colOff>215900</xdr:colOff>
      <xdr:row>84</xdr:row>
      <xdr:rowOff>0</xdr:rowOff>
    </xdr:to>
    <xdr:pic>
      <xdr:nvPicPr>
        <xdr:cNvPr id="2105" name="Picture 57" descr="Flag of SAU">
          <a:extLst>
            <a:ext uri="{FF2B5EF4-FFF2-40B4-BE49-F238E27FC236}">
              <a16:creationId xmlns:a16="http://schemas.microsoft.com/office/drawing/2014/main" id="{B16AFA62-21C0-DF04-553E-BE82D534EA12}"/>
            </a:ext>
          </a:extLst>
        </xdr:cNvPr>
        <xdr:cNvPicPr>
          <a:picLocks noChangeAspect="1" noChangeArrowheads="1"/>
        </xdr:cNvPicPr>
      </xdr:nvPicPr>
      <xdr:blipFill>
        <a:blip xmlns:r="http://schemas.openxmlformats.org/officeDocument/2006/relationships" r:link="rId9">
          <a:extLst>
            <a:ext uri="{28A0092B-C50C-407E-A947-70E740481C1C}">
              <a14:useLocalDpi xmlns:a14="http://schemas.microsoft.com/office/drawing/2010/main" val="0"/>
            </a:ext>
          </a:extLst>
        </a:blip>
        <a:srcRect/>
        <a:stretch>
          <a:fillRect/>
        </a:stretch>
      </xdr:blipFill>
      <xdr:spPr bwMode="auto">
        <a:xfrm>
          <a:off x="1727200" y="17233900"/>
          <a:ext cx="558800" cy="40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84</xdr:row>
      <xdr:rowOff>0</xdr:rowOff>
    </xdr:from>
    <xdr:to>
      <xdr:col>6</xdr:col>
      <xdr:colOff>215900</xdr:colOff>
      <xdr:row>86</xdr:row>
      <xdr:rowOff>0</xdr:rowOff>
    </xdr:to>
    <xdr:pic>
      <xdr:nvPicPr>
        <xdr:cNvPr id="2106" name="Picture 58" descr="Flag of SAU">
          <a:extLst>
            <a:ext uri="{FF2B5EF4-FFF2-40B4-BE49-F238E27FC236}">
              <a16:creationId xmlns:a16="http://schemas.microsoft.com/office/drawing/2014/main" id="{4FEE0440-FB2F-A8ED-DAF7-FCA105DDA04D}"/>
            </a:ext>
          </a:extLst>
        </xdr:cNvPr>
        <xdr:cNvPicPr>
          <a:picLocks noChangeAspect="1" noChangeArrowheads="1"/>
        </xdr:cNvPicPr>
      </xdr:nvPicPr>
      <xdr:blipFill>
        <a:blip xmlns:r="http://schemas.openxmlformats.org/officeDocument/2006/relationships" r:link="rId10">
          <a:extLst>
            <a:ext uri="{28A0092B-C50C-407E-A947-70E740481C1C}">
              <a14:useLocalDpi xmlns:a14="http://schemas.microsoft.com/office/drawing/2010/main" val="0"/>
            </a:ext>
          </a:extLst>
        </a:blip>
        <a:srcRect/>
        <a:stretch>
          <a:fillRect/>
        </a:stretch>
      </xdr:blipFill>
      <xdr:spPr bwMode="auto">
        <a:xfrm>
          <a:off x="1727200" y="17640300"/>
          <a:ext cx="558800" cy="40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82</xdr:row>
      <xdr:rowOff>0</xdr:rowOff>
    </xdr:from>
    <xdr:to>
      <xdr:col>7</xdr:col>
      <xdr:colOff>215900</xdr:colOff>
      <xdr:row>84</xdr:row>
      <xdr:rowOff>0</xdr:rowOff>
    </xdr:to>
    <xdr:pic>
      <xdr:nvPicPr>
        <xdr:cNvPr id="2107" name="Picture 59" descr="Flag of USA">
          <a:extLst>
            <a:ext uri="{FF2B5EF4-FFF2-40B4-BE49-F238E27FC236}">
              <a16:creationId xmlns:a16="http://schemas.microsoft.com/office/drawing/2014/main" id="{D2F857D4-E62A-9645-F132-2341F547649D}"/>
            </a:ext>
          </a:extLst>
        </xdr:cNvPr>
        <xdr:cNvPicPr>
          <a:picLocks noChangeAspect="1" noChangeArrowheads="1"/>
        </xdr:cNvPicPr>
      </xdr:nvPicPr>
      <xdr:blipFill>
        <a:blip xmlns:r="http://schemas.openxmlformats.org/officeDocument/2006/relationships" r:link="rId11">
          <a:extLst>
            <a:ext uri="{28A0092B-C50C-407E-A947-70E740481C1C}">
              <a14:useLocalDpi xmlns:a14="http://schemas.microsoft.com/office/drawing/2010/main" val="0"/>
            </a:ext>
          </a:extLst>
        </a:blip>
        <a:srcRect/>
        <a:stretch>
          <a:fillRect/>
        </a:stretch>
      </xdr:blipFill>
      <xdr:spPr bwMode="auto">
        <a:xfrm>
          <a:off x="2070100" y="17233900"/>
          <a:ext cx="558800" cy="40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84</xdr:row>
      <xdr:rowOff>0</xdr:rowOff>
    </xdr:from>
    <xdr:to>
      <xdr:col>7</xdr:col>
      <xdr:colOff>215900</xdr:colOff>
      <xdr:row>86</xdr:row>
      <xdr:rowOff>0</xdr:rowOff>
    </xdr:to>
    <xdr:pic>
      <xdr:nvPicPr>
        <xdr:cNvPr id="2108" name="Picture 60" descr="Flag of USA">
          <a:extLst>
            <a:ext uri="{FF2B5EF4-FFF2-40B4-BE49-F238E27FC236}">
              <a16:creationId xmlns:a16="http://schemas.microsoft.com/office/drawing/2014/main" id="{30730F85-C434-5FD5-B202-05DB752EA126}"/>
            </a:ext>
          </a:extLst>
        </xdr:cNvPr>
        <xdr:cNvPicPr>
          <a:picLocks noChangeAspect="1" noChangeArrowheads="1"/>
        </xdr:cNvPicPr>
      </xdr:nvPicPr>
      <xdr:blipFill>
        <a:blip xmlns:r="http://schemas.openxmlformats.org/officeDocument/2006/relationships" r:link="rId12">
          <a:extLst>
            <a:ext uri="{28A0092B-C50C-407E-A947-70E740481C1C}">
              <a14:useLocalDpi xmlns:a14="http://schemas.microsoft.com/office/drawing/2010/main" val="0"/>
            </a:ext>
          </a:extLst>
        </a:blip>
        <a:srcRect/>
        <a:stretch>
          <a:fillRect/>
        </a:stretch>
      </xdr:blipFill>
      <xdr:spPr bwMode="auto">
        <a:xfrm>
          <a:off x="2070100" y="17640300"/>
          <a:ext cx="558800" cy="40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82</xdr:row>
      <xdr:rowOff>0</xdr:rowOff>
    </xdr:from>
    <xdr:to>
      <xdr:col>8</xdr:col>
      <xdr:colOff>215900</xdr:colOff>
      <xdr:row>84</xdr:row>
      <xdr:rowOff>0</xdr:rowOff>
    </xdr:to>
    <xdr:pic>
      <xdr:nvPicPr>
        <xdr:cNvPr id="2109" name="Picture 61" descr="Flag of ITA">
          <a:extLst>
            <a:ext uri="{FF2B5EF4-FFF2-40B4-BE49-F238E27FC236}">
              <a16:creationId xmlns:a16="http://schemas.microsoft.com/office/drawing/2014/main" id="{162A38DB-814E-3F93-BE8E-E45E54B91377}"/>
            </a:ext>
          </a:extLst>
        </xdr:cNvPr>
        <xdr:cNvPicPr>
          <a:picLocks noChangeAspect="1" noChangeArrowheads="1"/>
        </xdr:cNvPicPr>
      </xdr:nvPicPr>
      <xdr:blipFill>
        <a:blip xmlns:r="http://schemas.openxmlformats.org/officeDocument/2006/relationships" r:link="rId13">
          <a:extLst>
            <a:ext uri="{28A0092B-C50C-407E-A947-70E740481C1C}">
              <a14:useLocalDpi xmlns:a14="http://schemas.microsoft.com/office/drawing/2010/main" val="0"/>
            </a:ext>
          </a:extLst>
        </a:blip>
        <a:srcRect/>
        <a:stretch>
          <a:fillRect/>
        </a:stretch>
      </xdr:blipFill>
      <xdr:spPr bwMode="auto">
        <a:xfrm>
          <a:off x="2413000" y="17233900"/>
          <a:ext cx="558800" cy="40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84</xdr:row>
      <xdr:rowOff>0</xdr:rowOff>
    </xdr:from>
    <xdr:to>
      <xdr:col>8</xdr:col>
      <xdr:colOff>215900</xdr:colOff>
      <xdr:row>86</xdr:row>
      <xdr:rowOff>0</xdr:rowOff>
    </xdr:to>
    <xdr:pic>
      <xdr:nvPicPr>
        <xdr:cNvPr id="2110" name="Picture 62" descr="Flag of ITA">
          <a:extLst>
            <a:ext uri="{FF2B5EF4-FFF2-40B4-BE49-F238E27FC236}">
              <a16:creationId xmlns:a16="http://schemas.microsoft.com/office/drawing/2014/main" id="{FB7C5918-183F-AFC6-E3BA-A58E9352BC2E}"/>
            </a:ext>
          </a:extLst>
        </xdr:cNvPr>
        <xdr:cNvPicPr>
          <a:picLocks noChangeAspect="1" noChangeArrowheads="1"/>
        </xdr:cNvPicPr>
      </xdr:nvPicPr>
      <xdr:blipFill>
        <a:blip xmlns:r="http://schemas.openxmlformats.org/officeDocument/2006/relationships" r:link="rId14">
          <a:extLst>
            <a:ext uri="{28A0092B-C50C-407E-A947-70E740481C1C}">
              <a14:useLocalDpi xmlns:a14="http://schemas.microsoft.com/office/drawing/2010/main" val="0"/>
            </a:ext>
          </a:extLst>
        </a:blip>
        <a:srcRect/>
        <a:stretch>
          <a:fillRect/>
        </a:stretch>
      </xdr:blipFill>
      <xdr:spPr bwMode="auto">
        <a:xfrm>
          <a:off x="2413000" y="17640300"/>
          <a:ext cx="558800" cy="40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82</xdr:row>
      <xdr:rowOff>0</xdr:rowOff>
    </xdr:from>
    <xdr:to>
      <xdr:col>9</xdr:col>
      <xdr:colOff>279400</xdr:colOff>
      <xdr:row>84</xdr:row>
      <xdr:rowOff>0</xdr:rowOff>
    </xdr:to>
    <xdr:pic>
      <xdr:nvPicPr>
        <xdr:cNvPr id="2111" name="Picture 63" descr="Flag of MCO">
          <a:extLst>
            <a:ext uri="{FF2B5EF4-FFF2-40B4-BE49-F238E27FC236}">
              <a16:creationId xmlns:a16="http://schemas.microsoft.com/office/drawing/2014/main" id="{32D05674-FFA9-0EE6-7D2E-182FD514E781}"/>
            </a:ext>
          </a:extLst>
        </xdr:cNvPr>
        <xdr:cNvPicPr>
          <a:picLocks noChangeAspect="1" noChangeArrowheads="1"/>
        </xdr:cNvPicPr>
      </xdr:nvPicPr>
      <xdr:blipFill>
        <a:blip xmlns:r="http://schemas.openxmlformats.org/officeDocument/2006/relationships" r:link="rId15">
          <a:extLst>
            <a:ext uri="{28A0092B-C50C-407E-A947-70E740481C1C}">
              <a14:useLocalDpi xmlns:a14="http://schemas.microsoft.com/office/drawing/2010/main" val="0"/>
            </a:ext>
          </a:extLst>
        </a:blip>
        <a:srcRect/>
        <a:stretch>
          <a:fillRect/>
        </a:stretch>
      </xdr:blipFill>
      <xdr:spPr bwMode="auto">
        <a:xfrm>
          <a:off x="2755900" y="17233900"/>
          <a:ext cx="558800" cy="40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84</xdr:row>
      <xdr:rowOff>0</xdr:rowOff>
    </xdr:from>
    <xdr:to>
      <xdr:col>9</xdr:col>
      <xdr:colOff>279400</xdr:colOff>
      <xdr:row>86</xdr:row>
      <xdr:rowOff>0</xdr:rowOff>
    </xdr:to>
    <xdr:pic>
      <xdr:nvPicPr>
        <xdr:cNvPr id="2112" name="Picture 64" descr="Flag of MCO">
          <a:extLst>
            <a:ext uri="{FF2B5EF4-FFF2-40B4-BE49-F238E27FC236}">
              <a16:creationId xmlns:a16="http://schemas.microsoft.com/office/drawing/2014/main" id="{8331528C-5B7A-D5C9-3768-AD559A1044F6}"/>
            </a:ext>
          </a:extLst>
        </xdr:cNvPr>
        <xdr:cNvPicPr>
          <a:picLocks noChangeAspect="1" noChangeArrowheads="1"/>
        </xdr:cNvPicPr>
      </xdr:nvPicPr>
      <xdr:blipFill>
        <a:blip xmlns:r="http://schemas.openxmlformats.org/officeDocument/2006/relationships" r:link="rId16">
          <a:extLst>
            <a:ext uri="{28A0092B-C50C-407E-A947-70E740481C1C}">
              <a14:useLocalDpi xmlns:a14="http://schemas.microsoft.com/office/drawing/2010/main" val="0"/>
            </a:ext>
          </a:extLst>
        </a:blip>
        <a:srcRect/>
        <a:stretch>
          <a:fillRect/>
        </a:stretch>
      </xdr:blipFill>
      <xdr:spPr bwMode="auto">
        <a:xfrm>
          <a:off x="2755900" y="17640300"/>
          <a:ext cx="558800" cy="40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82</xdr:row>
      <xdr:rowOff>0</xdr:rowOff>
    </xdr:from>
    <xdr:to>
      <xdr:col>10</xdr:col>
      <xdr:colOff>215900</xdr:colOff>
      <xdr:row>84</xdr:row>
      <xdr:rowOff>0</xdr:rowOff>
    </xdr:to>
    <xdr:pic>
      <xdr:nvPicPr>
        <xdr:cNvPr id="2113" name="Picture 65" descr="Flag of ESP">
          <a:extLst>
            <a:ext uri="{FF2B5EF4-FFF2-40B4-BE49-F238E27FC236}">
              <a16:creationId xmlns:a16="http://schemas.microsoft.com/office/drawing/2014/main" id="{030DF6C3-5D4C-1F23-AB1D-463F089FC029}"/>
            </a:ext>
          </a:extLst>
        </xdr:cNvPr>
        <xdr:cNvPicPr>
          <a:picLocks noChangeAspect="1" noChangeArrowheads="1"/>
        </xdr:cNvPicPr>
      </xdr:nvPicPr>
      <xdr:blipFill>
        <a:blip xmlns:r="http://schemas.openxmlformats.org/officeDocument/2006/relationships" r:link="rId17">
          <a:extLst>
            <a:ext uri="{28A0092B-C50C-407E-A947-70E740481C1C}">
              <a14:useLocalDpi xmlns:a14="http://schemas.microsoft.com/office/drawing/2010/main" val="0"/>
            </a:ext>
          </a:extLst>
        </a:blip>
        <a:srcRect/>
        <a:stretch>
          <a:fillRect/>
        </a:stretch>
      </xdr:blipFill>
      <xdr:spPr bwMode="auto">
        <a:xfrm>
          <a:off x="3035300" y="17233900"/>
          <a:ext cx="558800" cy="40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84</xdr:row>
      <xdr:rowOff>0</xdr:rowOff>
    </xdr:from>
    <xdr:to>
      <xdr:col>10</xdr:col>
      <xdr:colOff>215900</xdr:colOff>
      <xdr:row>86</xdr:row>
      <xdr:rowOff>0</xdr:rowOff>
    </xdr:to>
    <xdr:pic>
      <xdr:nvPicPr>
        <xdr:cNvPr id="2114" name="Picture 66" descr="Flag of ESP">
          <a:extLst>
            <a:ext uri="{FF2B5EF4-FFF2-40B4-BE49-F238E27FC236}">
              <a16:creationId xmlns:a16="http://schemas.microsoft.com/office/drawing/2014/main" id="{C6148745-CE0C-42A6-4975-3BC07594BDDA}"/>
            </a:ext>
          </a:extLst>
        </xdr:cNvPr>
        <xdr:cNvPicPr>
          <a:picLocks noChangeAspect="1" noChangeArrowheads="1"/>
        </xdr:cNvPicPr>
      </xdr:nvPicPr>
      <xdr:blipFill>
        <a:blip xmlns:r="http://schemas.openxmlformats.org/officeDocument/2006/relationships" r:link="rId18">
          <a:extLst>
            <a:ext uri="{28A0092B-C50C-407E-A947-70E740481C1C}">
              <a14:useLocalDpi xmlns:a14="http://schemas.microsoft.com/office/drawing/2010/main" val="0"/>
            </a:ext>
          </a:extLst>
        </a:blip>
        <a:srcRect/>
        <a:stretch>
          <a:fillRect/>
        </a:stretch>
      </xdr:blipFill>
      <xdr:spPr bwMode="auto">
        <a:xfrm>
          <a:off x="3035300" y="17640300"/>
          <a:ext cx="558800" cy="40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82</xdr:row>
      <xdr:rowOff>0</xdr:rowOff>
    </xdr:from>
    <xdr:to>
      <xdr:col>11</xdr:col>
      <xdr:colOff>215900</xdr:colOff>
      <xdr:row>84</xdr:row>
      <xdr:rowOff>0</xdr:rowOff>
    </xdr:to>
    <xdr:pic>
      <xdr:nvPicPr>
        <xdr:cNvPr id="2115" name="Picture 67" descr="Flag of CAN">
          <a:extLst>
            <a:ext uri="{FF2B5EF4-FFF2-40B4-BE49-F238E27FC236}">
              <a16:creationId xmlns:a16="http://schemas.microsoft.com/office/drawing/2014/main" id="{81675579-F44B-519C-098C-0083EA6DA7B0}"/>
            </a:ext>
          </a:extLst>
        </xdr:cNvPr>
        <xdr:cNvPicPr>
          <a:picLocks noChangeAspect="1" noChangeArrowheads="1"/>
        </xdr:cNvPicPr>
      </xdr:nvPicPr>
      <xdr:blipFill>
        <a:blip xmlns:r="http://schemas.openxmlformats.org/officeDocument/2006/relationships" r:link="rId19">
          <a:extLst>
            <a:ext uri="{28A0092B-C50C-407E-A947-70E740481C1C}">
              <a14:useLocalDpi xmlns:a14="http://schemas.microsoft.com/office/drawing/2010/main" val="0"/>
            </a:ext>
          </a:extLst>
        </a:blip>
        <a:srcRect/>
        <a:stretch>
          <a:fillRect/>
        </a:stretch>
      </xdr:blipFill>
      <xdr:spPr bwMode="auto">
        <a:xfrm>
          <a:off x="3378200" y="17233900"/>
          <a:ext cx="558800" cy="40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84</xdr:row>
      <xdr:rowOff>0</xdr:rowOff>
    </xdr:from>
    <xdr:to>
      <xdr:col>11</xdr:col>
      <xdr:colOff>215900</xdr:colOff>
      <xdr:row>86</xdr:row>
      <xdr:rowOff>0</xdr:rowOff>
    </xdr:to>
    <xdr:pic>
      <xdr:nvPicPr>
        <xdr:cNvPr id="2116" name="Picture 68" descr="Flag of CAN">
          <a:extLst>
            <a:ext uri="{FF2B5EF4-FFF2-40B4-BE49-F238E27FC236}">
              <a16:creationId xmlns:a16="http://schemas.microsoft.com/office/drawing/2014/main" id="{182F93C3-E026-A7B3-18B5-9A5382C06BF0}"/>
            </a:ext>
          </a:extLst>
        </xdr:cNvPr>
        <xdr:cNvPicPr>
          <a:picLocks noChangeAspect="1" noChangeArrowheads="1"/>
        </xdr:cNvPicPr>
      </xdr:nvPicPr>
      <xdr:blipFill>
        <a:blip xmlns:r="http://schemas.openxmlformats.org/officeDocument/2006/relationships" r:link="rId20">
          <a:extLst>
            <a:ext uri="{28A0092B-C50C-407E-A947-70E740481C1C}">
              <a14:useLocalDpi xmlns:a14="http://schemas.microsoft.com/office/drawing/2010/main" val="0"/>
            </a:ext>
          </a:extLst>
        </a:blip>
        <a:srcRect/>
        <a:stretch>
          <a:fillRect/>
        </a:stretch>
      </xdr:blipFill>
      <xdr:spPr bwMode="auto">
        <a:xfrm>
          <a:off x="3378200" y="17640300"/>
          <a:ext cx="558800" cy="40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0</xdr:colOff>
      <xdr:row>82</xdr:row>
      <xdr:rowOff>0</xdr:rowOff>
    </xdr:from>
    <xdr:to>
      <xdr:col>12</xdr:col>
      <xdr:colOff>215900</xdr:colOff>
      <xdr:row>84</xdr:row>
      <xdr:rowOff>0</xdr:rowOff>
    </xdr:to>
    <xdr:pic>
      <xdr:nvPicPr>
        <xdr:cNvPr id="2117" name="Picture 69" descr="Flag of AUT">
          <a:extLst>
            <a:ext uri="{FF2B5EF4-FFF2-40B4-BE49-F238E27FC236}">
              <a16:creationId xmlns:a16="http://schemas.microsoft.com/office/drawing/2014/main" id="{33CDF131-C8EB-68F7-0D27-0FC3BAEEF86F}"/>
            </a:ext>
          </a:extLst>
        </xdr:cNvPr>
        <xdr:cNvPicPr>
          <a:picLocks noChangeAspect="1" noChangeArrowheads="1"/>
        </xdr:cNvPicPr>
      </xdr:nvPicPr>
      <xdr:blipFill>
        <a:blip xmlns:r="http://schemas.openxmlformats.org/officeDocument/2006/relationships" r:link="rId21">
          <a:extLst>
            <a:ext uri="{28A0092B-C50C-407E-A947-70E740481C1C}">
              <a14:useLocalDpi xmlns:a14="http://schemas.microsoft.com/office/drawing/2010/main" val="0"/>
            </a:ext>
          </a:extLst>
        </a:blip>
        <a:srcRect/>
        <a:stretch>
          <a:fillRect/>
        </a:stretch>
      </xdr:blipFill>
      <xdr:spPr bwMode="auto">
        <a:xfrm>
          <a:off x="3721100" y="17233900"/>
          <a:ext cx="558800" cy="40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0</xdr:colOff>
      <xdr:row>84</xdr:row>
      <xdr:rowOff>0</xdr:rowOff>
    </xdr:from>
    <xdr:to>
      <xdr:col>12</xdr:col>
      <xdr:colOff>215900</xdr:colOff>
      <xdr:row>86</xdr:row>
      <xdr:rowOff>0</xdr:rowOff>
    </xdr:to>
    <xdr:pic>
      <xdr:nvPicPr>
        <xdr:cNvPr id="2118" name="Picture 70" descr="Flag of AUT">
          <a:extLst>
            <a:ext uri="{FF2B5EF4-FFF2-40B4-BE49-F238E27FC236}">
              <a16:creationId xmlns:a16="http://schemas.microsoft.com/office/drawing/2014/main" id="{4D0DB4B8-A651-DF92-1543-402FD24E6F18}"/>
            </a:ext>
          </a:extLst>
        </xdr:cNvPr>
        <xdr:cNvPicPr>
          <a:picLocks noChangeAspect="1" noChangeArrowheads="1"/>
        </xdr:cNvPicPr>
      </xdr:nvPicPr>
      <xdr:blipFill>
        <a:blip xmlns:r="http://schemas.openxmlformats.org/officeDocument/2006/relationships" r:link="rId22">
          <a:extLst>
            <a:ext uri="{28A0092B-C50C-407E-A947-70E740481C1C}">
              <a14:useLocalDpi xmlns:a14="http://schemas.microsoft.com/office/drawing/2010/main" val="0"/>
            </a:ext>
          </a:extLst>
        </a:blip>
        <a:srcRect/>
        <a:stretch>
          <a:fillRect/>
        </a:stretch>
      </xdr:blipFill>
      <xdr:spPr bwMode="auto">
        <a:xfrm>
          <a:off x="3721100" y="17640300"/>
          <a:ext cx="558800" cy="40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0</xdr:colOff>
      <xdr:row>82</xdr:row>
      <xdr:rowOff>0</xdr:rowOff>
    </xdr:from>
    <xdr:to>
      <xdr:col>13</xdr:col>
      <xdr:colOff>215900</xdr:colOff>
      <xdr:row>84</xdr:row>
      <xdr:rowOff>0</xdr:rowOff>
    </xdr:to>
    <xdr:pic>
      <xdr:nvPicPr>
        <xdr:cNvPr id="2119" name="Picture 71" descr="Flag of GBR">
          <a:extLst>
            <a:ext uri="{FF2B5EF4-FFF2-40B4-BE49-F238E27FC236}">
              <a16:creationId xmlns:a16="http://schemas.microsoft.com/office/drawing/2014/main" id="{E7259C43-4439-33D8-A5CC-6D2CC9427E76}"/>
            </a:ext>
          </a:extLst>
        </xdr:cNvPr>
        <xdr:cNvPicPr>
          <a:picLocks noChangeAspect="1" noChangeArrowheads="1"/>
        </xdr:cNvPicPr>
      </xdr:nvPicPr>
      <xdr:blipFill>
        <a:blip xmlns:r="http://schemas.openxmlformats.org/officeDocument/2006/relationships" r:link="rId23">
          <a:extLst>
            <a:ext uri="{28A0092B-C50C-407E-A947-70E740481C1C}">
              <a14:useLocalDpi xmlns:a14="http://schemas.microsoft.com/office/drawing/2010/main" val="0"/>
            </a:ext>
          </a:extLst>
        </a:blip>
        <a:srcRect/>
        <a:stretch>
          <a:fillRect/>
        </a:stretch>
      </xdr:blipFill>
      <xdr:spPr bwMode="auto">
        <a:xfrm>
          <a:off x="4064000" y="17233900"/>
          <a:ext cx="558800" cy="40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0</xdr:colOff>
      <xdr:row>84</xdr:row>
      <xdr:rowOff>0</xdr:rowOff>
    </xdr:from>
    <xdr:to>
      <xdr:col>13</xdr:col>
      <xdr:colOff>215900</xdr:colOff>
      <xdr:row>86</xdr:row>
      <xdr:rowOff>0</xdr:rowOff>
    </xdr:to>
    <xdr:pic>
      <xdr:nvPicPr>
        <xdr:cNvPr id="2120" name="Picture 72" descr="Flag of GBR">
          <a:extLst>
            <a:ext uri="{FF2B5EF4-FFF2-40B4-BE49-F238E27FC236}">
              <a16:creationId xmlns:a16="http://schemas.microsoft.com/office/drawing/2014/main" id="{8990A16F-48EE-E227-E4B1-75E2A16A99FF}"/>
            </a:ext>
          </a:extLst>
        </xdr:cNvPr>
        <xdr:cNvPicPr>
          <a:picLocks noChangeAspect="1" noChangeArrowheads="1"/>
        </xdr:cNvPicPr>
      </xdr:nvPicPr>
      <xdr:blipFill>
        <a:blip xmlns:r="http://schemas.openxmlformats.org/officeDocument/2006/relationships" r:link="rId24">
          <a:extLst>
            <a:ext uri="{28A0092B-C50C-407E-A947-70E740481C1C}">
              <a14:useLocalDpi xmlns:a14="http://schemas.microsoft.com/office/drawing/2010/main" val="0"/>
            </a:ext>
          </a:extLst>
        </a:blip>
        <a:srcRect/>
        <a:stretch>
          <a:fillRect/>
        </a:stretch>
      </xdr:blipFill>
      <xdr:spPr bwMode="auto">
        <a:xfrm>
          <a:off x="4064000" y="17640300"/>
          <a:ext cx="558800" cy="40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0</xdr:colOff>
      <xdr:row>82</xdr:row>
      <xdr:rowOff>0</xdr:rowOff>
    </xdr:from>
    <xdr:to>
      <xdr:col>14</xdr:col>
      <xdr:colOff>215900</xdr:colOff>
      <xdr:row>84</xdr:row>
      <xdr:rowOff>0</xdr:rowOff>
    </xdr:to>
    <xdr:pic>
      <xdr:nvPicPr>
        <xdr:cNvPr id="2121" name="Picture 73" descr="Flag of BEL">
          <a:extLst>
            <a:ext uri="{FF2B5EF4-FFF2-40B4-BE49-F238E27FC236}">
              <a16:creationId xmlns:a16="http://schemas.microsoft.com/office/drawing/2014/main" id="{31DB7644-D1D1-FC49-42AB-47E92FDE432F}"/>
            </a:ext>
          </a:extLst>
        </xdr:cNvPr>
        <xdr:cNvPicPr>
          <a:picLocks noChangeAspect="1" noChangeArrowheads="1"/>
        </xdr:cNvPicPr>
      </xdr:nvPicPr>
      <xdr:blipFill>
        <a:blip xmlns:r="http://schemas.openxmlformats.org/officeDocument/2006/relationships" r:link="rId25">
          <a:extLst>
            <a:ext uri="{28A0092B-C50C-407E-A947-70E740481C1C}">
              <a14:useLocalDpi xmlns:a14="http://schemas.microsoft.com/office/drawing/2010/main" val="0"/>
            </a:ext>
          </a:extLst>
        </a:blip>
        <a:srcRect/>
        <a:stretch>
          <a:fillRect/>
        </a:stretch>
      </xdr:blipFill>
      <xdr:spPr bwMode="auto">
        <a:xfrm>
          <a:off x="4406900" y="17233900"/>
          <a:ext cx="558800" cy="40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0</xdr:colOff>
      <xdr:row>84</xdr:row>
      <xdr:rowOff>0</xdr:rowOff>
    </xdr:from>
    <xdr:to>
      <xdr:col>14</xdr:col>
      <xdr:colOff>215900</xdr:colOff>
      <xdr:row>86</xdr:row>
      <xdr:rowOff>0</xdr:rowOff>
    </xdr:to>
    <xdr:pic>
      <xdr:nvPicPr>
        <xdr:cNvPr id="2122" name="Picture 74" descr="Flag of BEL">
          <a:extLst>
            <a:ext uri="{FF2B5EF4-FFF2-40B4-BE49-F238E27FC236}">
              <a16:creationId xmlns:a16="http://schemas.microsoft.com/office/drawing/2014/main" id="{4913A7F6-9A90-9A71-A5AF-83DBE0D9B5CA}"/>
            </a:ext>
          </a:extLst>
        </xdr:cNvPr>
        <xdr:cNvPicPr>
          <a:picLocks noChangeAspect="1" noChangeArrowheads="1"/>
        </xdr:cNvPicPr>
      </xdr:nvPicPr>
      <xdr:blipFill>
        <a:blip xmlns:r="http://schemas.openxmlformats.org/officeDocument/2006/relationships" r:link="rId26">
          <a:extLst>
            <a:ext uri="{28A0092B-C50C-407E-A947-70E740481C1C}">
              <a14:useLocalDpi xmlns:a14="http://schemas.microsoft.com/office/drawing/2010/main" val="0"/>
            </a:ext>
          </a:extLst>
        </a:blip>
        <a:srcRect/>
        <a:stretch>
          <a:fillRect/>
        </a:stretch>
      </xdr:blipFill>
      <xdr:spPr bwMode="auto">
        <a:xfrm>
          <a:off x="4406900" y="17640300"/>
          <a:ext cx="558800" cy="40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0</xdr:colOff>
      <xdr:row>82</xdr:row>
      <xdr:rowOff>0</xdr:rowOff>
    </xdr:from>
    <xdr:to>
      <xdr:col>15</xdr:col>
      <xdr:colOff>215900</xdr:colOff>
      <xdr:row>84</xdr:row>
      <xdr:rowOff>0</xdr:rowOff>
    </xdr:to>
    <xdr:pic>
      <xdr:nvPicPr>
        <xdr:cNvPr id="2123" name="Picture 75" descr="Flag of HUN">
          <a:extLst>
            <a:ext uri="{FF2B5EF4-FFF2-40B4-BE49-F238E27FC236}">
              <a16:creationId xmlns:a16="http://schemas.microsoft.com/office/drawing/2014/main" id="{19CC389A-C394-49F6-D08C-46C76CE28CAC}"/>
            </a:ext>
          </a:extLst>
        </xdr:cNvPr>
        <xdr:cNvPicPr>
          <a:picLocks noChangeAspect="1" noChangeArrowheads="1"/>
        </xdr:cNvPicPr>
      </xdr:nvPicPr>
      <xdr:blipFill>
        <a:blip xmlns:r="http://schemas.openxmlformats.org/officeDocument/2006/relationships" r:link="rId27">
          <a:extLst>
            <a:ext uri="{28A0092B-C50C-407E-A947-70E740481C1C}">
              <a14:useLocalDpi xmlns:a14="http://schemas.microsoft.com/office/drawing/2010/main" val="0"/>
            </a:ext>
          </a:extLst>
        </a:blip>
        <a:srcRect/>
        <a:stretch>
          <a:fillRect/>
        </a:stretch>
      </xdr:blipFill>
      <xdr:spPr bwMode="auto">
        <a:xfrm>
          <a:off x="4749800" y="17233900"/>
          <a:ext cx="558800" cy="40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0</xdr:colOff>
      <xdr:row>84</xdr:row>
      <xdr:rowOff>0</xdr:rowOff>
    </xdr:from>
    <xdr:to>
      <xdr:col>15</xdr:col>
      <xdr:colOff>215900</xdr:colOff>
      <xdr:row>86</xdr:row>
      <xdr:rowOff>0</xdr:rowOff>
    </xdr:to>
    <xdr:pic>
      <xdr:nvPicPr>
        <xdr:cNvPr id="2124" name="Picture 76" descr="Flag of HUN">
          <a:extLst>
            <a:ext uri="{FF2B5EF4-FFF2-40B4-BE49-F238E27FC236}">
              <a16:creationId xmlns:a16="http://schemas.microsoft.com/office/drawing/2014/main" id="{A14163A6-C8FB-F95C-FC9A-7D607943DB8E}"/>
            </a:ext>
          </a:extLst>
        </xdr:cNvPr>
        <xdr:cNvPicPr>
          <a:picLocks noChangeAspect="1" noChangeArrowheads="1"/>
        </xdr:cNvPicPr>
      </xdr:nvPicPr>
      <xdr:blipFill>
        <a:blip xmlns:r="http://schemas.openxmlformats.org/officeDocument/2006/relationships" r:link="rId28">
          <a:extLst>
            <a:ext uri="{28A0092B-C50C-407E-A947-70E740481C1C}">
              <a14:useLocalDpi xmlns:a14="http://schemas.microsoft.com/office/drawing/2010/main" val="0"/>
            </a:ext>
          </a:extLst>
        </a:blip>
        <a:srcRect/>
        <a:stretch>
          <a:fillRect/>
        </a:stretch>
      </xdr:blipFill>
      <xdr:spPr bwMode="auto">
        <a:xfrm>
          <a:off x="4749800" y="17640300"/>
          <a:ext cx="558800" cy="40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0</xdr:colOff>
      <xdr:row>82</xdr:row>
      <xdr:rowOff>0</xdr:rowOff>
    </xdr:from>
    <xdr:to>
      <xdr:col>16</xdr:col>
      <xdr:colOff>215900</xdr:colOff>
      <xdr:row>84</xdr:row>
      <xdr:rowOff>0</xdr:rowOff>
    </xdr:to>
    <xdr:pic>
      <xdr:nvPicPr>
        <xdr:cNvPr id="2125" name="Picture 77" descr="Flag of NLD">
          <a:extLst>
            <a:ext uri="{FF2B5EF4-FFF2-40B4-BE49-F238E27FC236}">
              <a16:creationId xmlns:a16="http://schemas.microsoft.com/office/drawing/2014/main" id="{A529091A-BD7B-75FD-99CF-801D95722C54}"/>
            </a:ext>
          </a:extLst>
        </xdr:cNvPr>
        <xdr:cNvPicPr>
          <a:picLocks noChangeAspect="1" noChangeArrowheads="1"/>
        </xdr:cNvPicPr>
      </xdr:nvPicPr>
      <xdr:blipFill>
        <a:blip xmlns:r="http://schemas.openxmlformats.org/officeDocument/2006/relationships" r:link="rId29">
          <a:extLst>
            <a:ext uri="{28A0092B-C50C-407E-A947-70E740481C1C}">
              <a14:useLocalDpi xmlns:a14="http://schemas.microsoft.com/office/drawing/2010/main" val="0"/>
            </a:ext>
          </a:extLst>
        </a:blip>
        <a:srcRect/>
        <a:stretch>
          <a:fillRect/>
        </a:stretch>
      </xdr:blipFill>
      <xdr:spPr bwMode="auto">
        <a:xfrm>
          <a:off x="5092700" y="17233900"/>
          <a:ext cx="558800" cy="40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0</xdr:colOff>
      <xdr:row>84</xdr:row>
      <xdr:rowOff>0</xdr:rowOff>
    </xdr:from>
    <xdr:to>
      <xdr:col>16</xdr:col>
      <xdr:colOff>215900</xdr:colOff>
      <xdr:row>86</xdr:row>
      <xdr:rowOff>0</xdr:rowOff>
    </xdr:to>
    <xdr:pic>
      <xdr:nvPicPr>
        <xdr:cNvPr id="2126" name="Picture 78" descr="Flag of NLD">
          <a:extLst>
            <a:ext uri="{FF2B5EF4-FFF2-40B4-BE49-F238E27FC236}">
              <a16:creationId xmlns:a16="http://schemas.microsoft.com/office/drawing/2014/main" id="{9C181FC4-A222-D975-BAC9-F0084516EAF7}"/>
            </a:ext>
          </a:extLst>
        </xdr:cNvPr>
        <xdr:cNvPicPr>
          <a:picLocks noChangeAspect="1" noChangeArrowheads="1"/>
        </xdr:cNvPicPr>
      </xdr:nvPicPr>
      <xdr:blipFill>
        <a:blip xmlns:r="http://schemas.openxmlformats.org/officeDocument/2006/relationships" r:link="rId30">
          <a:extLst>
            <a:ext uri="{28A0092B-C50C-407E-A947-70E740481C1C}">
              <a14:useLocalDpi xmlns:a14="http://schemas.microsoft.com/office/drawing/2010/main" val="0"/>
            </a:ext>
          </a:extLst>
        </a:blip>
        <a:srcRect/>
        <a:stretch>
          <a:fillRect/>
        </a:stretch>
      </xdr:blipFill>
      <xdr:spPr bwMode="auto">
        <a:xfrm>
          <a:off x="5092700" y="17640300"/>
          <a:ext cx="558800" cy="40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16</xdr:col>
      <xdr:colOff>0</xdr:colOff>
      <xdr:row>82</xdr:row>
      <xdr:rowOff>0</xdr:rowOff>
    </xdr:from>
    <xdr:to>
      <xdr:col>17</xdr:col>
      <xdr:colOff>215900</xdr:colOff>
      <xdr:row>84</xdr:row>
      <xdr:rowOff>0</xdr:rowOff>
    </xdr:to>
    <xdr:pic>
      <xdr:nvPicPr>
        <xdr:cNvPr id="2127" name="Picture 79" descr="Flag of ITA">
          <a:extLst>
            <a:ext uri="{FF2B5EF4-FFF2-40B4-BE49-F238E27FC236}">
              <a16:creationId xmlns:a16="http://schemas.microsoft.com/office/drawing/2014/main" id="{8FB257AC-059D-225C-82BE-E9F48EEFB87B}"/>
            </a:ext>
          </a:extLst>
        </xdr:cNvPr>
        <xdr:cNvPicPr>
          <a:picLocks noChangeAspect="1" noChangeArrowheads="1"/>
        </xdr:cNvPicPr>
      </xdr:nvPicPr>
      <xdr:blipFill>
        <a:blip xmlns:r="http://schemas.openxmlformats.org/officeDocument/2006/relationships" r:link="rId31">
          <a:extLst>
            <a:ext uri="{28A0092B-C50C-407E-A947-70E740481C1C}">
              <a14:useLocalDpi xmlns:a14="http://schemas.microsoft.com/office/drawing/2010/main" val="0"/>
            </a:ext>
          </a:extLst>
        </a:blip>
        <a:srcRect/>
        <a:stretch>
          <a:fillRect/>
        </a:stretch>
      </xdr:blipFill>
      <xdr:spPr bwMode="auto">
        <a:xfrm>
          <a:off x="5435600" y="17233900"/>
          <a:ext cx="558800" cy="40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16</xdr:col>
      <xdr:colOff>0</xdr:colOff>
      <xdr:row>84</xdr:row>
      <xdr:rowOff>0</xdr:rowOff>
    </xdr:from>
    <xdr:to>
      <xdr:col>17</xdr:col>
      <xdr:colOff>215900</xdr:colOff>
      <xdr:row>86</xdr:row>
      <xdr:rowOff>0</xdr:rowOff>
    </xdr:to>
    <xdr:pic>
      <xdr:nvPicPr>
        <xdr:cNvPr id="2128" name="Picture 80" descr="Flag of ITA">
          <a:extLst>
            <a:ext uri="{FF2B5EF4-FFF2-40B4-BE49-F238E27FC236}">
              <a16:creationId xmlns:a16="http://schemas.microsoft.com/office/drawing/2014/main" id="{ADACE8C5-0C1E-4017-FC12-0C2F5A80CCE8}"/>
            </a:ext>
          </a:extLst>
        </xdr:cNvPr>
        <xdr:cNvPicPr>
          <a:picLocks noChangeAspect="1" noChangeArrowheads="1"/>
        </xdr:cNvPicPr>
      </xdr:nvPicPr>
      <xdr:blipFill>
        <a:blip xmlns:r="http://schemas.openxmlformats.org/officeDocument/2006/relationships" r:link="rId32">
          <a:extLst>
            <a:ext uri="{28A0092B-C50C-407E-A947-70E740481C1C}">
              <a14:useLocalDpi xmlns:a14="http://schemas.microsoft.com/office/drawing/2010/main" val="0"/>
            </a:ext>
          </a:extLst>
        </a:blip>
        <a:srcRect/>
        <a:stretch>
          <a:fillRect/>
        </a:stretch>
      </xdr:blipFill>
      <xdr:spPr bwMode="auto">
        <a:xfrm>
          <a:off x="5435600" y="17640300"/>
          <a:ext cx="558800" cy="40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82</xdr:row>
      <xdr:rowOff>0</xdr:rowOff>
    </xdr:from>
    <xdr:to>
      <xdr:col>18</xdr:col>
      <xdr:colOff>215900</xdr:colOff>
      <xdr:row>84</xdr:row>
      <xdr:rowOff>0</xdr:rowOff>
    </xdr:to>
    <xdr:pic>
      <xdr:nvPicPr>
        <xdr:cNvPr id="2129" name="Picture 81" descr="Flag of AZE">
          <a:extLst>
            <a:ext uri="{FF2B5EF4-FFF2-40B4-BE49-F238E27FC236}">
              <a16:creationId xmlns:a16="http://schemas.microsoft.com/office/drawing/2014/main" id="{A5BB026D-B0DD-B52E-FA9A-E9ABDBEA6481}"/>
            </a:ext>
          </a:extLst>
        </xdr:cNvPr>
        <xdr:cNvPicPr>
          <a:picLocks noChangeAspect="1" noChangeArrowheads="1"/>
        </xdr:cNvPicPr>
      </xdr:nvPicPr>
      <xdr:blipFill>
        <a:blip xmlns:r="http://schemas.openxmlformats.org/officeDocument/2006/relationships" r:link="rId33">
          <a:extLst>
            <a:ext uri="{28A0092B-C50C-407E-A947-70E740481C1C}">
              <a14:useLocalDpi xmlns:a14="http://schemas.microsoft.com/office/drawing/2010/main" val="0"/>
            </a:ext>
          </a:extLst>
        </a:blip>
        <a:srcRect/>
        <a:stretch>
          <a:fillRect/>
        </a:stretch>
      </xdr:blipFill>
      <xdr:spPr bwMode="auto">
        <a:xfrm>
          <a:off x="5778500" y="17233900"/>
          <a:ext cx="558800" cy="40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84</xdr:row>
      <xdr:rowOff>0</xdr:rowOff>
    </xdr:from>
    <xdr:to>
      <xdr:col>18</xdr:col>
      <xdr:colOff>215900</xdr:colOff>
      <xdr:row>86</xdr:row>
      <xdr:rowOff>0</xdr:rowOff>
    </xdr:to>
    <xdr:pic>
      <xdr:nvPicPr>
        <xdr:cNvPr id="2130" name="Picture 82" descr="Flag of AZE">
          <a:extLst>
            <a:ext uri="{FF2B5EF4-FFF2-40B4-BE49-F238E27FC236}">
              <a16:creationId xmlns:a16="http://schemas.microsoft.com/office/drawing/2014/main" id="{84CC9D2E-EBEC-053B-8EA5-37B2EFA4DDF4}"/>
            </a:ext>
          </a:extLst>
        </xdr:cNvPr>
        <xdr:cNvPicPr>
          <a:picLocks noChangeAspect="1" noChangeArrowheads="1"/>
        </xdr:cNvPicPr>
      </xdr:nvPicPr>
      <xdr:blipFill>
        <a:blip xmlns:r="http://schemas.openxmlformats.org/officeDocument/2006/relationships" r:link="rId34">
          <a:extLst>
            <a:ext uri="{28A0092B-C50C-407E-A947-70E740481C1C}">
              <a14:useLocalDpi xmlns:a14="http://schemas.microsoft.com/office/drawing/2010/main" val="0"/>
            </a:ext>
          </a:extLst>
        </a:blip>
        <a:srcRect/>
        <a:stretch>
          <a:fillRect/>
        </a:stretch>
      </xdr:blipFill>
      <xdr:spPr bwMode="auto">
        <a:xfrm>
          <a:off x="5778500" y="17640300"/>
          <a:ext cx="558800" cy="40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82</xdr:row>
      <xdr:rowOff>0</xdr:rowOff>
    </xdr:from>
    <xdr:to>
      <xdr:col>19</xdr:col>
      <xdr:colOff>215900</xdr:colOff>
      <xdr:row>84</xdr:row>
      <xdr:rowOff>0</xdr:rowOff>
    </xdr:to>
    <xdr:pic>
      <xdr:nvPicPr>
        <xdr:cNvPr id="2131" name="Picture 83" descr="Flag of SGP">
          <a:extLst>
            <a:ext uri="{FF2B5EF4-FFF2-40B4-BE49-F238E27FC236}">
              <a16:creationId xmlns:a16="http://schemas.microsoft.com/office/drawing/2014/main" id="{B305FE15-32D8-9DE2-315B-279C2A44D75D}"/>
            </a:ext>
          </a:extLst>
        </xdr:cNvPr>
        <xdr:cNvPicPr>
          <a:picLocks noChangeAspect="1" noChangeArrowheads="1"/>
        </xdr:cNvPicPr>
      </xdr:nvPicPr>
      <xdr:blipFill>
        <a:blip xmlns:r="http://schemas.openxmlformats.org/officeDocument/2006/relationships" r:link="rId35">
          <a:extLst>
            <a:ext uri="{28A0092B-C50C-407E-A947-70E740481C1C}">
              <a14:useLocalDpi xmlns:a14="http://schemas.microsoft.com/office/drawing/2010/main" val="0"/>
            </a:ext>
          </a:extLst>
        </a:blip>
        <a:srcRect/>
        <a:stretch>
          <a:fillRect/>
        </a:stretch>
      </xdr:blipFill>
      <xdr:spPr bwMode="auto">
        <a:xfrm>
          <a:off x="6121400" y="17233900"/>
          <a:ext cx="558800" cy="40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84</xdr:row>
      <xdr:rowOff>0</xdr:rowOff>
    </xdr:from>
    <xdr:to>
      <xdr:col>19</xdr:col>
      <xdr:colOff>215900</xdr:colOff>
      <xdr:row>86</xdr:row>
      <xdr:rowOff>0</xdr:rowOff>
    </xdr:to>
    <xdr:pic>
      <xdr:nvPicPr>
        <xdr:cNvPr id="2132" name="Picture 84" descr="Flag of SGP">
          <a:extLst>
            <a:ext uri="{FF2B5EF4-FFF2-40B4-BE49-F238E27FC236}">
              <a16:creationId xmlns:a16="http://schemas.microsoft.com/office/drawing/2014/main" id="{2E56645B-8BB7-FFD4-9723-8CDBD211348B}"/>
            </a:ext>
          </a:extLst>
        </xdr:cNvPr>
        <xdr:cNvPicPr>
          <a:picLocks noChangeAspect="1" noChangeArrowheads="1"/>
        </xdr:cNvPicPr>
      </xdr:nvPicPr>
      <xdr:blipFill>
        <a:blip xmlns:r="http://schemas.openxmlformats.org/officeDocument/2006/relationships" r:link="rId36">
          <a:extLst>
            <a:ext uri="{28A0092B-C50C-407E-A947-70E740481C1C}">
              <a14:useLocalDpi xmlns:a14="http://schemas.microsoft.com/office/drawing/2010/main" val="0"/>
            </a:ext>
          </a:extLst>
        </a:blip>
        <a:srcRect/>
        <a:stretch>
          <a:fillRect/>
        </a:stretch>
      </xdr:blipFill>
      <xdr:spPr bwMode="auto">
        <a:xfrm>
          <a:off x="6121400" y="17640300"/>
          <a:ext cx="558800" cy="40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19</xdr:col>
      <xdr:colOff>0</xdr:colOff>
      <xdr:row>82</xdr:row>
      <xdr:rowOff>0</xdr:rowOff>
    </xdr:from>
    <xdr:to>
      <xdr:col>20</xdr:col>
      <xdr:colOff>215900</xdr:colOff>
      <xdr:row>84</xdr:row>
      <xdr:rowOff>0</xdr:rowOff>
    </xdr:to>
    <xdr:pic>
      <xdr:nvPicPr>
        <xdr:cNvPr id="2133" name="Picture 85" descr="Flag of USA">
          <a:extLst>
            <a:ext uri="{FF2B5EF4-FFF2-40B4-BE49-F238E27FC236}">
              <a16:creationId xmlns:a16="http://schemas.microsoft.com/office/drawing/2014/main" id="{70D98575-E975-C3EF-C164-3079A211B24C}"/>
            </a:ext>
          </a:extLst>
        </xdr:cNvPr>
        <xdr:cNvPicPr>
          <a:picLocks noChangeAspect="1" noChangeArrowheads="1"/>
        </xdr:cNvPicPr>
      </xdr:nvPicPr>
      <xdr:blipFill>
        <a:blip xmlns:r="http://schemas.openxmlformats.org/officeDocument/2006/relationships" r:link="rId37">
          <a:extLst>
            <a:ext uri="{28A0092B-C50C-407E-A947-70E740481C1C}">
              <a14:useLocalDpi xmlns:a14="http://schemas.microsoft.com/office/drawing/2010/main" val="0"/>
            </a:ext>
          </a:extLst>
        </a:blip>
        <a:srcRect/>
        <a:stretch>
          <a:fillRect/>
        </a:stretch>
      </xdr:blipFill>
      <xdr:spPr bwMode="auto">
        <a:xfrm>
          <a:off x="6464300" y="17233900"/>
          <a:ext cx="558800" cy="40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19</xdr:col>
      <xdr:colOff>0</xdr:colOff>
      <xdr:row>84</xdr:row>
      <xdr:rowOff>0</xdr:rowOff>
    </xdr:from>
    <xdr:to>
      <xdr:col>20</xdr:col>
      <xdr:colOff>215900</xdr:colOff>
      <xdr:row>86</xdr:row>
      <xdr:rowOff>0</xdr:rowOff>
    </xdr:to>
    <xdr:pic>
      <xdr:nvPicPr>
        <xdr:cNvPr id="2134" name="Picture 86" descr="Flag of USA">
          <a:extLst>
            <a:ext uri="{FF2B5EF4-FFF2-40B4-BE49-F238E27FC236}">
              <a16:creationId xmlns:a16="http://schemas.microsoft.com/office/drawing/2014/main" id="{FBEF3C44-7AB0-14AE-7CA0-211DC10DDB81}"/>
            </a:ext>
          </a:extLst>
        </xdr:cNvPr>
        <xdr:cNvPicPr>
          <a:picLocks noChangeAspect="1" noChangeArrowheads="1"/>
        </xdr:cNvPicPr>
      </xdr:nvPicPr>
      <xdr:blipFill>
        <a:blip xmlns:r="http://schemas.openxmlformats.org/officeDocument/2006/relationships" r:link="rId38">
          <a:extLst>
            <a:ext uri="{28A0092B-C50C-407E-A947-70E740481C1C}">
              <a14:useLocalDpi xmlns:a14="http://schemas.microsoft.com/office/drawing/2010/main" val="0"/>
            </a:ext>
          </a:extLst>
        </a:blip>
        <a:srcRect/>
        <a:stretch>
          <a:fillRect/>
        </a:stretch>
      </xdr:blipFill>
      <xdr:spPr bwMode="auto">
        <a:xfrm>
          <a:off x="6464300" y="17640300"/>
          <a:ext cx="558800" cy="40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20</xdr:col>
      <xdr:colOff>0</xdr:colOff>
      <xdr:row>82</xdr:row>
      <xdr:rowOff>0</xdr:rowOff>
    </xdr:from>
    <xdr:to>
      <xdr:col>21</xdr:col>
      <xdr:colOff>215900</xdr:colOff>
      <xdr:row>84</xdr:row>
      <xdr:rowOff>0</xdr:rowOff>
    </xdr:to>
    <xdr:pic>
      <xdr:nvPicPr>
        <xdr:cNvPr id="2135" name="Picture 87" descr="Flag of MEX">
          <a:extLst>
            <a:ext uri="{FF2B5EF4-FFF2-40B4-BE49-F238E27FC236}">
              <a16:creationId xmlns:a16="http://schemas.microsoft.com/office/drawing/2014/main" id="{27AD2A5C-FD12-A4C3-654D-88C918DABE7A}"/>
            </a:ext>
          </a:extLst>
        </xdr:cNvPr>
        <xdr:cNvPicPr>
          <a:picLocks noChangeAspect="1" noChangeArrowheads="1"/>
        </xdr:cNvPicPr>
      </xdr:nvPicPr>
      <xdr:blipFill>
        <a:blip xmlns:r="http://schemas.openxmlformats.org/officeDocument/2006/relationships" r:link="rId39">
          <a:extLst>
            <a:ext uri="{28A0092B-C50C-407E-A947-70E740481C1C}">
              <a14:useLocalDpi xmlns:a14="http://schemas.microsoft.com/office/drawing/2010/main" val="0"/>
            </a:ext>
          </a:extLst>
        </a:blip>
        <a:srcRect/>
        <a:stretch>
          <a:fillRect/>
        </a:stretch>
      </xdr:blipFill>
      <xdr:spPr bwMode="auto">
        <a:xfrm>
          <a:off x="6807200" y="17233900"/>
          <a:ext cx="558800" cy="40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20</xdr:col>
      <xdr:colOff>0</xdr:colOff>
      <xdr:row>84</xdr:row>
      <xdr:rowOff>0</xdr:rowOff>
    </xdr:from>
    <xdr:to>
      <xdr:col>21</xdr:col>
      <xdr:colOff>215900</xdr:colOff>
      <xdr:row>86</xdr:row>
      <xdr:rowOff>0</xdr:rowOff>
    </xdr:to>
    <xdr:pic>
      <xdr:nvPicPr>
        <xdr:cNvPr id="2136" name="Picture 88" descr="Flag of MEX">
          <a:extLst>
            <a:ext uri="{FF2B5EF4-FFF2-40B4-BE49-F238E27FC236}">
              <a16:creationId xmlns:a16="http://schemas.microsoft.com/office/drawing/2014/main" id="{90B05050-2E51-2E78-0B88-8E802869FD99}"/>
            </a:ext>
          </a:extLst>
        </xdr:cNvPr>
        <xdr:cNvPicPr>
          <a:picLocks noChangeAspect="1" noChangeArrowheads="1"/>
        </xdr:cNvPicPr>
      </xdr:nvPicPr>
      <xdr:blipFill>
        <a:blip xmlns:r="http://schemas.openxmlformats.org/officeDocument/2006/relationships" r:link="rId40">
          <a:extLst>
            <a:ext uri="{28A0092B-C50C-407E-A947-70E740481C1C}">
              <a14:useLocalDpi xmlns:a14="http://schemas.microsoft.com/office/drawing/2010/main" val="0"/>
            </a:ext>
          </a:extLst>
        </a:blip>
        <a:srcRect/>
        <a:stretch>
          <a:fillRect/>
        </a:stretch>
      </xdr:blipFill>
      <xdr:spPr bwMode="auto">
        <a:xfrm>
          <a:off x="6807200" y="17640300"/>
          <a:ext cx="558800" cy="40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21</xdr:col>
      <xdr:colOff>0</xdr:colOff>
      <xdr:row>82</xdr:row>
      <xdr:rowOff>0</xdr:rowOff>
    </xdr:from>
    <xdr:to>
      <xdr:col>22</xdr:col>
      <xdr:colOff>215900</xdr:colOff>
      <xdr:row>84</xdr:row>
      <xdr:rowOff>0</xdr:rowOff>
    </xdr:to>
    <xdr:pic>
      <xdr:nvPicPr>
        <xdr:cNvPr id="2137" name="Picture 89" descr="Flag of BRA">
          <a:extLst>
            <a:ext uri="{FF2B5EF4-FFF2-40B4-BE49-F238E27FC236}">
              <a16:creationId xmlns:a16="http://schemas.microsoft.com/office/drawing/2014/main" id="{909319B0-C764-C4AA-67EF-3E093426103F}"/>
            </a:ext>
          </a:extLst>
        </xdr:cNvPr>
        <xdr:cNvPicPr>
          <a:picLocks noChangeAspect="1" noChangeArrowheads="1"/>
        </xdr:cNvPicPr>
      </xdr:nvPicPr>
      <xdr:blipFill>
        <a:blip xmlns:r="http://schemas.openxmlformats.org/officeDocument/2006/relationships" r:link="rId41">
          <a:extLst>
            <a:ext uri="{28A0092B-C50C-407E-A947-70E740481C1C}">
              <a14:useLocalDpi xmlns:a14="http://schemas.microsoft.com/office/drawing/2010/main" val="0"/>
            </a:ext>
          </a:extLst>
        </a:blip>
        <a:srcRect/>
        <a:stretch>
          <a:fillRect/>
        </a:stretch>
      </xdr:blipFill>
      <xdr:spPr bwMode="auto">
        <a:xfrm>
          <a:off x="7150100" y="17233900"/>
          <a:ext cx="558800" cy="40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21</xdr:col>
      <xdr:colOff>0</xdr:colOff>
      <xdr:row>84</xdr:row>
      <xdr:rowOff>0</xdr:rowOff>
    </xdr:from>
    <xdr:to>
      <xdr:col>22</xdr:col>
      <xdr:colOff>215900</xdr:colOff>
      <xdr:row>86</xdr:row>
      <xdr:rowOff>0</xdr:rowOff>
    </xdr:to>
    <xdr:pic>
      <xdr:nvPicPr>
        <xdr:cNvPr id="2138" name="Picture 90" descr="Flag of BRA">
          <a:extLst>
            <a:ext uri="{FF2B5EF4-FFF2-40B4-BE49-F238E27FC236}">
              <a16:creationId xmlns:a16="http://schemas.microsoft.com/office/drawing/2014/main" id="{B0724F5E-D79F-8F64-9D81-BE2327D19945}"/>
            </a:ext>
          </a:extLst>
        </xdr:cNvPr>
        <xdr:cNvPicPr>
          <a:picLocks noChangeAspect="1" noChangeArrowheads="1"/>
        </xdr:cNvPicPr>
      </xdr:nvPicPr>
      <xdr:blipFill>
        <a:blip xmlns:r="http://schemas.openxmlformats.org/officeDocument/2006/relationships" r:link="rId42">
          <a:extLst>
            <a:ext uri="{28A0092B-C50C-407E-A947-70E740481C1C}">
              <a14:useLocalDpi xmlns:a14="http://schemas.microsoft.com/office/drawing/2010/main" val="0"/>
            </a:ext>
          </a:extLst>
        </a:blip>
        <a:srcRect/>
        <a:stretch>
          <a:fillRect/>
        </a:stretch>
      </xdr:blipFill>
      <xdr:spPr bwMode="auto">
        <a:xfrm>
          <a:off x="7150100" y="17640300"/>
          <a:ext cx="558800" cy="40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22</xdr:col>
      <xdr:colOff>0</xdr:colOff>
      <xdr:row>82</xdr:row>
      <xdr:rowOff>0</xdr:rowOff>
    </xdr:from>
    <xdr:to>
      <xdr:col>23</xdr:col>
      <xdr:colOff>215900</xdr:colOff>
      <xdr:row>84</xdr:row>
      <xdr:rowOff>0</xdr:rowOff>
    </xdr:to>
    <xdr:pic>
      <xdr:nvPicPr>
        <xdr:cNvPr id="2139" name="Picture 91" descr="Flag of USA">
          <a:extLst>
            <a:ext uri="{FF2B5EF4-FFF2-40B4-BE49-F238E27FC236}">
              <a16:creationId xmlns:a16="http://schemas.microsoft.com/office/drawing/2014/main" id="{3699D7DF-636F-BD36-154E-B802166176C4}"/>
            </a:ext>
          </a:extLst>
        </xdr:cNvPr>
        <xdr:cNvPicPr>
          <a:picLocks noChangeAspect="1" noChangeArrowheads="1"/>
        </xdr:cNvPicPr>
      </xdr:nvPicPr>
      <xdr:blipFill>
        <a:blip xmlns:r="http://schemas.openxmlformats.org/officeDocument/2006/relationships" r:link="rId43">
          <a:extLst>
            <a:ext uri="{28A0092B-C50C-407E-A947-70E740481C1C}">
              <a14:useLocalDpi xmlns:a14="http://schemas.microsoft.com/office/drawing/2010/main" val="0"/>
            </a:ext>
          </a:extLst>
        </a:blip>
        <a:srcRect/>
        <a:stretch>
          <a:fillRect/>
        </a:stretch>
      </xdr:blipFill>
      <xdr:spPr bwMode="auto">
        <a:xfrm>
          <a:off x="7493000" y="17233900"/>
          <a:ext cx="558800" cy="40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22</xdr:col>
      <xdr:colOff>0</xdr:colOff>
      <xdr:row>84</xdr:row>
      <xdr:rowOff>0</xdr:rowOff>
    </xdr:from>
    <xdr:to>
      <xdr:col>23</xdr:col>
      <xdr:colOff>215900</xdr:colOff>
      <xdr:row>86</xdr:row>
      <xdr:rowOff>0</xdr:rowOff>
    </xdr:to>
    <xdr:pic>
      <xdr:nvPicPr>
        <xdr:cNvPr id="2140" name="Picture 92" descr="Flag of USA">
          <a:extLst>
            <a:ext uri="{FF2B5EF4-FFF2-40B4-BE49-F238E27FC236}">
              <a16:creationId xmlns:a16="http://schemas.microsoft.com/office/drawing/2014/main" id="{A6CF7D5C-300E-BD7D-A45F-B7BE8B9F2D81}"/>
            </a:ext>
          </a:extLst>
        </xdr:cNvPr>
        <xdr:cNvPicPr>
          <a:picLocks noChangeAspect="1" noChangeArrowheads="1"/>
        </xdr:cNvPicPr>
      </xdr:nvPicPr>
      <xdr:blipFill>
        <a:blip xmlns:r="http://schemas.openxmlformats.org/officeDocument/2006/relationships" r:link="rId44">
          <a:extLst>
            <a:ext uri="{28A0092B-C50C-407E-A947-70E740481C1C}">
              <a14:useLocalDpi xmlns:a14="http://schemas.microsoft.com/office/drawing/2010/main" val="0"/>
            </a:ext>
          </a:extLst>
        </a:blip>
        <a:srcRect/>
        <a:stretch>
          <a:fillRect/>
        </a:stretch>
      </xdr:blipFill>
      <xdr:spPr bwMode="auto">
        <a:xfrm>
          <a:off x="7493000" y="17640300"/>
          <a:ext cx="558800" cy="40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23</xdr:col>
      <xdr:colOff>0</xdr:colOff>
      <xdr:row>82</xdr:row>
      <xdr:rowOff>0</xdr:rowOff>
    </xdr:from>
    <xdr:to>
      <xdr:col>24</xdr:col>
      <xdr:colOff>215900</xdr:colOff>
      <xdr:row>84</xdr:row>
      <xdr:rowOff>0</xdr:rowOff>
    </xdr:to>
    <xdr:pic>
      <xdr:nvPicPr>
        <xdr:cNvPr id="2141" name="Picture 93" descr="Flag of QAT">
          <a:extLst>
            <a:ext uri="{FF2B5EF4-FFF2-40B4-BE49-F238E27FC236}">
              <a16:creationId xmlns:a16="http://schemas.microsoft.com/office/drawing/2014/main" id="{2EEC55E9-2CD2-0164-5826-597254ED445F}"/>
            </a:ext>
          </a:extLst>
        </xdr:cNvPr>
        <xdr:cNvPicPr>
          <a:picLocks noChangeAspect="1" noChangeArrowheads="1"/>
        </xdr:cNvPicPr>
      </xdr:nvPicPr>
      <xdr:blipFill>
        <a:blip xmlns:r="http://schemas.openxmlformats.org/officeDocument/2006/relationships" r:link="rId45">
          <a:extLst>
            <a:ext uri="{28A0092B-C50C-407E-A947-70E740481C1C}">
              <a14:useLocalDpi xmlns:a14="http://schemas.microsoft.com/office/drawing/2010/main" val="0"/>
            </a:ext>
          </a:extLst>
        </a:blip>
        <a:srcRect/>
        <a:stretch>
          <a:fillRect/>
        </a:stretch>
      </xdr:blipFill>
      <xdr:spPr bwMode="auto">
        <a:xfrm>
          <a:off x="7835900" y="17233900"/>
          <a:ext cx="558800" cy="40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23</xdr:col>
      <xdr:colOff>0</xdr:colOff>
      <xdr:row>84</xdr:row>
      <xdr:rowOff>0</xdr:rowOff>
    </xdr:from>
    <xdr:to>
      <xdr:col>24</xdr:col>
      <xdr:colOff>215900</xdr:colOff>
      <xdr:row>86</xdr:row>
      <xdr:rowOff>0</xdr:rowOff>
    </xdr:to>
    <xdr:pic>
      <xdr:nvPicPr>
        <xdr:cNvPr id="2142" name="Picture 94" descr="Flag of QAT">
          <a:extLst>
            <a:ext uri="{FF2B5EF4-FFF2-40B4-BE49-F238E27FC236}">
              <a16:creationId xmlns:a16="http://schemas.microsoft.com/office/drawing/2014/main" id="{CC3BB7E2-BB97-301A-C036-4F870AE5250A}"/>
            </a:ext>
          </a:extLst>
        </xdr:cNvPr>
        <xdr:cNvPicPr>
          <a:picLocks noChangeAspect="1" noChangeArrowheads="1"/>
        </xdr:cNvPicPr>
      </xdr:nvPicPr>
      <xdr:blipFill>
        <a:blip xmlns:r="http://schemas.openxmlformats.org/officeDocument/2006/relationships" r:link="rId46">
          <a:extLst>
            <a:ext uri="{28A0092B-C50C-407E-A947-70E740481C1C}">
              <a14:useLocalDpi xmlns:a14="http://schemas.microsoft.com/office/drawing/2010/main" val="0"/>
            </a:ext>
          </a:extLst>
        </a:blip>
        <a:srcRect/>
        <a:stretch>
          <a:fillRect/>
        </a:stretch>
      </xdr:blipFill>
      <xdr:spPr bwMode="auto">
        <a:xfrm>
          <a:off x="7835900" y="17640300"/>
          <a:ext cx="558800" cy="40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24</xdr:col>
      <xdr:colOff>0</xdr:colOff>
      <xdr:row>82</xdr:row>
      <xdr:rowOff>0</xdr:rowOff>
    </xdr:from>
    <xdr:to>
      <xdr:col>25</xdr:col>
      <xdr:colOff>215900</xdr:colOff>
      <xdr:row>84</xdr:row>
      <xdr:rowOff>0</xdr:rowOff>
    </xdr:to>
    <xdr:pic>
      <xdr:nvPicPr>
        <xdr:cNvPr id="2143" name="Picture 95" descr="Flag of UAE">
          <a:extLst>
            <a:ext uri="{FF2B5EF4-FFF2-40B4-BE49-F238E27FC236}">
              <a16:creationId xmlns:a16="http://schemas.microsoft.com/office/drawing/2014/main" id="{C15A294D-3559-76FE-FEF2-9F5CEE7ACD05}"/>
            </a:ext>
          </a:extLst>
        </xdr:cNvPr>
        <xdr:cNvPicPr>
          <a:picLocks noChangeAspect="1" noChangeArrowheads="1"/>
        </xdr:cNvPicPr>
      </xdr:nvPicPr>
      <xdr:blipFill>
        <a:blip xmlns:r="http://schemas.openxmlformats.org/officeDocument/2006/relationships" r:link="rId47">
          <a:extLst>
            <a:ext uri="{28A0092B-C50C-407E-A947-70E740481C1C}">
              <a14:useLocalDpi xmlns:a14="http://schemas.microsoft.com/office/drawing/2010/main" val="0"/>
            </a:ext>
          </a:extLst>
        </a:blip>
        <a:srcRect/>
        <a:stretch>
          <a:fillRect/>
        </a:stretch>
      </xdr:blipFill>
      <xdr:spPr bwMode="auto">
        <a:xfrm>
          <a:off x="8178800" y="17233900"/>
          <a:ext cx="558800" cy="40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24</xdr:col>
      <xdr:colOff>0</xdr:colOff>
      <xdr:row>84</xdr:row>
      <xdr:rowOff>0</xdr:rowOff>
    </xdr:from>
    <xdr:to>
      <xdr:col>25</xdr:col>
      <xdr:colOff>215900</xdr:colOff>
      <xdr:row>86</xdr:row>
      <xdr:rowOff>0</xdr:rowOff>
    </xdr:to>
    <xdr:pic>
      <xdr:nvPicPr>
        <xdr:cNvPr id="2144" name="Picture 96" descr="Flag of UAE">
          <a:extLst>
            <a:ext uri="{FF2B5EF4-FFF2-40B4-BE49-F238E27FC236}">
              <a16:creationId xmlns:a16="http://schemas.microsoft.com/office/drawing/2014/main" id="{801B02D2-5E03-F1A2-8598-2B895072BA1F}"/>
            </a:ext>
          </a:extLst>
        </xdr:cNvPr>
        <xdr:cNvPicPr>
          <a:picLocks noChangeAspect="1" noChangeArrowheads="1"/>
        </xdr:cNvPicPr>
      </xdr:nvPicPr>
      <xdr:blipFill>
        <a:blip xmlns:r="http://schemas.openxmlformats.org/officeDocument/2006/relationships" r:link="rId48">
          <a:extLst>
            <a:ext uri="{28A0092B-C50C-407E-A947-70E740481C1C}">
              <a14:useLocalDpi xmlns:a14="http://schemas.microsoft.com/office/drawing/2010/main" val="0"/>
            </a:ext>
          </a:extLst>
        </a:blip>
        <a:srcRect/>
        <a:stretch>
          <a:fillRect/>
        </a:stretch>
      </xdr:blipFill>
      <xdr:spPr bwMode="auto">
        <a:xfrm>
          <a:off x="8178800" y="17640300"/>
          <a:ext cx="558800" cy="40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0</xdr:colOff>
      <xdr:row>2</xdr:row>
      <xdr:rowOff>0</xdr:rowOff>
    </xdr:from>
    <xdr:to>
      <xdr:col>5</xdr:col>
      <xdr:colOff>292100</xdr:colOff>
      <xdr:row>2</xdr:row>
      <xdr:rowOff>190500</xdr:rowOff>
    </xdr:to>
    <xdr:sp macro="" textlink="">
      <xdr:nvSpPr>
        <xdr:cNvPr id="29701" name="AutoShape 5" descr="Saudi Arabia">
          <a:hlinkClick xmlns:r="http://schemas.openxmlformats.org/officeDocument/2006/relationships" r:id="rId1" tooltip="Saudi Arabia"/>
          <a:extLst>
            <a:ext uri="{FF2B5EF4-FFF2-40B4-BE49-F238E27FC236}">
              <a16:creationId xmlns:a16="http://schemas.microsoft.com/office/drawing/2014/main" id="{04DC58AD-28C5-5AF0-3237-DAB44BBA84A8}"/>
            </a:ext>
          </a:extLst>
        </xdr:cNvPr>
        <xdr:cNvSpPr>
          <a:spLocks noChangeAspect="1" noChangeArrowheads="1"/>
        </xdr:cNvSpPr>
      </xdr:nvSpPr>
      <xdr:spPr bwMode="auto">
        <a:xfrm>
          <a:off x="4953000" y="5892800"/>
          <a:ext cx="2921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0</xdr:colOff>
      <xdr:row>2</xdr:row>
      <xdr:rowOff>0</xdr:rowOff>
    </xdr:from>
    <xdr:to>
      <xdr:col>6</xdr:col>
      <xdr:colOff>292100</xdr:colOff>
      <xdr:row>2</xdr:row>
      <xdr:rowOff>152400</xdr:rowOff>
    </xdr:to>
    <xdr:sp macro="" textlink="">
      <xdr:nvSpPr>
        <xdr:cNvPr id="29702" name="AutoShape 6" descr="United States">
          <a:hlinkClick xmlns:r="http://schemas.openxmlformats.org/officeDocument/2006/relationships" r:id="rId2" tooltip="United States"/>
          <a:extLst>
            <a:ext uri="{FF2B5EF4-FFF2-40B4-BE49-F238E27FC236}">
              <a16:creationId xmlns:a16="http://schemas.microsoft.com/office/drawing/2014/main" id="{7D704DD9-109B-D3CC-9B5D-C9F42AF18865}"/>
            </a:ext>
          </a:extLst>
        </xdr:cNvPr>
        <xdr:cNvSpPr>
          <a:spLocks noChangeAspect="1" noChangeArrowheads="1"/>
        </xdr:cNvSpPr>
      </xdr:nvSpPr>
      <xdr:spPr bwMode="auto">
        <a:xfrm>
          <a:off x="5778500" y="5892800"/>
          <a:ext cx="2921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2</xdr:row>
      <xdr:rowOff>0</xdr:rowOff>
    </xdr:from>
    <xdr:to>
      <xdr:col>7</xdr:col>
      <xdr:colOff>292100</xdr:colOff>
      <xdr:row>2</xdr:row>
      <xdr:rowOff>190500</xdr:rowOff>
    </xdr:to>
    <xdr:sp macro="" textlink="">
      <xdr:nvSpPr>
        <xdr:cNvPr id="29703" name="AutoShape 7" descr="Italy">
          <a:hlinkClick xmlns:r="http://schemas.openxmlformats.org/officeDocument/2006/relationships" r:id="rId3" tooltip="Italy"/>
          <a:extLst>
            <a:ext uri="{FF2B5EF4-FFF2-40B4-BE49-F238E27FC236}">
              <a16:creationId xmlns:a16="http://schemas.microsoft.com/office/drawing/2014/main" id="{E8604F90-4602-E4B5-50BC-4AE71C66F405}"/>
            </a:ext>
          </a:extLst>
        </xdr:cNvPr>
        <xdr:cNvSpPr>
          <a:spLocks noChangeAspect="1" noChangeArrowheads="1"/>
        </xdr:cNvSpPr>
      </xdr:nvSpPr>
      <xdr:spPr bwMode="auto">
        <a:xfrm>
          <a:off x="6604000" y="5892800"/>
          <a:ext cx="2921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2</xdr:row>
      <xdr:rowOff>0</xdr:rowOff>
    </xdr:from>
    <xdr:to>
      <xdr:col>8</xdr:col>
      <xdr:colOff>241300</xdr:colOff>
      <xdr:row>2</xdr:row>
      <xdr:rowOff>190500</xdr:rowOff>
    </xdr:to>
    <xdr:sp macro="" textlink="">
      <xdr:nvSpPr>
        <xdr:cNvPr id="29704" name="AutoShape 8" descr="Monaco">
          <a:hlinkClick xmlns:r="http://schemas.openxmlformats.org/officeDocument/2006/relationships" r:id="rId4" tooltip="Monaco"/>
          <a:extLst>
            <a:ext uri="{FF2B5EF4-FFF2-40B4-BE49-F238E27FC236}">
              <a16:creationId xmlns:a16="http://schemas.microsoft.com/office/drawing/2014/main" id="{6CB6EC2B-3A82-935C-7228-169FA96BF4B6}"/>
            </a:ext>
          </a:extLst>
        </xdr:cNvPr>
        <xdr:cNvSpPr>
          <a:spLocks noChangeAspect="1" noChangeArrowheads="1"/>
        </xdr:cNvSpPr>
      </xdr:nvSpPr>
      <xdr:spPr bwMode="auto">
        <a:xfrm>
          <a:off x="7429500" y="5892800"/>
          <a:ext cx="2413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2</xdr:row>
      <xdr:rowOff>0</xdr:rowOff>
    </xdr:from>
    <xdr:to>
      <xdr:col>9</xdr:col>
      <xdr:colOff>292100</xdr:colOff>
      <xdr:row>2</xdr:row>
      <xdr:rowOff>190500</xdr:rowOff>
    </xdr:to>
    <xdr:sp macro="" textlink="">
      <xdr:nvSpPr>
        <xdr:cNvPr id="29705" name="AutoShape 9" descr="Spain">
          <a:hlinkClick xmlns:r="http://schemas.openxmlformats.org/officeDocument/2006/relationships" r:id="rId5" tooltip="Spain"/>
          <a:extLst>
            <a:ext uri="{FF2B5EF4-FFF2-40B4-BE49-F238E27FC236}">
              <a16:creationId xmlns:a16="http://schemas.microsoft.com/office/drawing/2014/main" id="{433E2AD2-E72F-9067-4BF2-3EFEC2296883}"/>
            </a:ext>
          </a:extLst>
        </xdr:cNvPr>
        <xdr:cNvSpPr>
          <a:spLocks noChangeAspect="1" noChangeArrowheads="1"/>
        </xdr:cNvSpPr>
      </xdr:nvSpPr>
      <xdr:spPr bwMode="auto">
        <a:xfrm>
          <a:off x="8255000" y="5892800"/>
          <a:ext cx="2921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10</xdr:col>
      <xdr:colOff>0</xdr:colOff>
      <xdr:row>2</xdr:row>
      <xdr:rowOff>0</xdr:rowOff>
    </xdr:from>
    <xdr:to>
      <xdr:col>10</xdr:col>
      <xdr:colOff>292100</xdr:colOff>
      <xdr:row>2</xdr:row>
      <xdr:rowOff>152400</xdr:rowOff>
    </xdr:to>
    <xdr:sp macro="" textlink="">
      <xdr:nvSpPr>
        <xdr:cNvPr id="29706" name="AutoShape 10" descr="Canada">
          <a:hlinkClick xmlns:r="http://schemas.openxmlformats.org/officeDocument/2006/relationships" r:id="rId6" tooltip="Canada"/>
          <a:extLst>
            <a:ext uri="{FF2B5EF4-FFF2-40B4-BE49-F238E27FC236}">
              <a16:creationId xmlns:a16="http://schemas.microsoft.com/office/drawing/2014/main" id="{B77FC056-8EC9-7909-CCB1-98DC7D017EAE}"/>
            </a:ext>
          </a:extLst>
        </xdr:cNvPr>
        <xdr:cNvSpPr>
          <a:spLocks noChangeAspect="1" noChangeArrowheads="1"/>
        </xdr:cNvSpPr>
      </xdr:nvSpPr>
      <xdr:spPr bwMode="auto">
        <a:xfrm>
          <a:off x="9080500" y="5892800"/>
          <a:ext cx="2921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11</xdr:col>
      <xdr:colOff>0</xdr:colOff>
      <xdr:row>2</xdr:row>
      <xdr:rowOff>0</xdr:rowOff>
    </xdr:from>
    <xdr:to>
      <xdr:col>11</xdr:col>
      <xdr:colOff>292100</xdr:colOff>
      <xdr:row>2</xdr:row>
      <xdr:rowOff>190500</xdr:rowOff>
    </xdr:to>
    <xdr:sp macro="" textlink="">
      <xdr:nvSpPr>
        <xdr:cNvPr id="29707" name="AutoShape 11" descr="Austria">
          <a:hlinkClick xmlns:r="http://schemas.openxmlformats.org/officeDocument/2006/relationships" r:id="rId7" tooltip="Austria"/>
          <a:extLst>
            <a:ext uri="{FF2B5EF4-FFF2-40B4-BE49-F238E27FC236}">
              <a16:creationId xmlns:a16="http://schemas.microsoft.com/office/drawing/2014/main" id="{7F60FACF-F6FC-D2D6-9F65-432E097DE9CE}"/>
            </a:ext>
          </a:extLst>
        </xdr:cNvPr>
        <xdr:cNvSpPr>
          <a:spLocks noChangeAspect="1" noChangeArrowheads="1"/>
        </xdr:cNvSpPr>
      </xdr:nvSpPr>
      <xdr:spPr bwMode="auto">
        <a:xfrm>
          <a:off x="9906000" y="5892800"/>
          <a:ext cx="2921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12</xdr:col>
      <xdr:colOff>0</xdr:colOff>
      <xdr:row>2</xdr:row>
      <xdr:rowOff>0</xdr:rowOff>
    </xdr:from>
    <xdr:to>
      <xdr:col>12</xdr:col>
      <xdr:colOff>292100</xdr:colOff>
      <xdr:row>2</xdr:row>
      <xdr:rowOff>152400</xdr:rowOff>
    </xdr:to>
    <xdr:sp macro="" textlink="">
      <xdr:nvSpPr>
        <xdr:cNvPr id="29708" name="AutoShape 12" descr="United Kingdom">
          <a:hlinkClick xmlns:r="http://schemas.openxmlformats.org/officeDocument/2006/relationships" r:id="rId8" tooltip="United Kingdom"/>
          <a:extLst>
            <a:ext uri="{FF2B5EF4-FFF2-40B4-BE49-F238E27FC236}">
              <a16:creationId xmlns:a16="http://schemas.microsoft.com/office/drawing/2014/main" id="{2999FA91-AB32-E790-8B4F-28D39C76E576}"/>
            </a:ext>
          </a:extLst>
        </xdr:cNvPr>
        <xdr:cNvSpPr>
          <a:spLocks noChangeAspect="1" noChangeArrowheads="1"/>
        </xdr:cNvSpPr>
      </xdr:nvSpPr>
      <xdr:spPr bwMode="auto">
        <a:xfrm>
          <a:off x="10731500" y="5892800"/>
          <a:ext cx="2921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13</xdr:col>
      <xdr:colOff>0</xdr:colOff>
      <xdr:row>2</xdr:row>
      <xdr:rowOff>0</xdr:rowOff>
    </xdr:from>
    <xdr:to>
      <xdr:col>13</xdr:col>
      <xdr:colOff>292100</xdr:colOff>
      <xdr:row>2</xdr:row>
      <xdr:rowOff>190500</xdr:rowOff>
    </xdr:to>
    <xdr:sp macro="" textlink="">
      <xdr:nvSpPr>
        <xdr:cNvPr id="29709" name="AutoShape 13" descr="Belgium">
          <a:hlinkClick xmlns:r="http://schemas.openxmlformats.org/officeDocument/2006/relationships" r:id="rId9" tooltip="Belgium"/>
          <a:extLst>
            <a:ext uri="{FF2B5EF4-FFF2-40B4-BE49-F238E27FC236}">
              <a16:creationId xmlns:a16="http://schemas.microsoft.com/office/drawing/2014/main" id="{3ED0DB6A-CF9E-F5B5-AACB-45B345BBA1C3}"/>
            </a:ext>
          </a:extLst>
        </xdr:cNvPr>
        <xdr:cNvSpPr>
          <a:spLocks noChangeAspect="1" noChangeArrowheads="1"/>
        </xdr:cNvSpPr>
      </xdr:nvSpPr>
      <xdr:spPr bwMode="auto">
        <a:xfrm>
          <a:off x="11557000" y="5892800"/>
          <a:ext cx="2921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14</xdr:col>
      <xdr:colOff>0</xdr:colOff>
      <xdr:row>2</xdr:row>
      <xdr:rowOff>0</xdr:rowOff>
    </xdr:from>
    <xdr:to>
      <xdr:col>14</xdr:col>
      <xdr:colOff>292100</xdr:colOff>
      <xdr:row>2</xdr:row>
      <xdr:rowOff>152400</xdr:rowOff>
    </xdr:to>
    <xdr:sp macro="" textlink="">
      <xdr:nvSpPr>
        <xdr:cNvPr id="29710" name="AutoShape 14" descr="Hungary">
          <a:hlinkClick xmlns:r="http://schemas.openxmlformats.org/officeDocument/2006/relationships" r:id="rId10" tooltip="Hungary"/>
          <a:extLst>
            <a:ext uri="{FF2B5EF4-FFF2-40B4-BE49-F238E27FC236}">
              <a16:creationId xmlns:a16="http://schemas.microsoft.com/office/drawing/2014/main" id="{9F02BBD2-EA2C-C75F-050A-B18AD8B1E8F1}"/>
            </a:ext>
          </a:extLst>
        </xdr:cNvPr>
        <xdr:cNvSpPr>
          <a:spLocks noChangeAspect="1" noChangeArrowheads="1"/>
        </xdr:cNvSpPr>
      </xdr:nvSpPr>
      <xdr:spPr bwMode="auto">
        <a:xfrm>
          <a:off x="12382500" y="5892800"/>
          <a:ext cx="2921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15</xdr:col>
      <xdr:colOff>0</xdr:colOff>
      <xdr:row>2</xdr:row>
      <xdr:rowOff>0</xdr:rowOff>
    </xdr:from>
    <xdr:to>
      <xdr:col>15</xdr:col>
      <xdr:colOff>292100</xdr:colOff>
      <xdr:row>2</xdr:row>
      <xdr:rowOff>190500</xdr:rowOff>
    </xdr:to>
    <xdr:sp macro="" textlink="">
      <xdr:nvSpPr>
        <xdr:cNvPr id="29711" name="AutoShape 15" descr="Netherlands">
          <a:hlinkClick xmlns:r="http://schemas.openxmlformats.org/officeDocument/2006/relationships" r:id="rId11" tooltip="Netherlands"/>
          <a:extLst>
            <a:ext uri="{FF2B5EF4-FFF2-40B4-BE49-F238E27FC236}">
              <a16:creationId xmlns:a16="http://schemas.microsoft.com/office/drawing/2014/main" id="{1A0AADB4-B24C-154A-9456-CD386D2E899B}"/>
            </a:ext>
          </a:extLst>
        </xdr:cNvPr>
        <xdr:cNvSpPr>
          <a:spLocks noChangeAspect="1" noChangeArrowheads="1"/>
        </xdr:cNvSpPr>
      </xdr:nvSpPr>
      <xdr:spPr bwMode="auto">
        <a:xfrm>
          <a:off x="13208000" y="5892800"/>
          <a:ext cx="2921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16</xdr:col>
      <xdr:colOff>0</xdr:colOff>
      <xdr:row>2</xdr:row>
      <xdr:rowOff>0</xdr:rowOff>
    </xdr:from>
    <xdr:to>
      <xdr:col>16</xdr:col>
      <xdr:colOff>292100</xdr:colOff>
      <xdr:row>2</xdr:row>
      <xdr:rowOff>190500</xdr:rowOff>
    </xdr:to>
    <xdr:sp macro="" textlink="">
      <xdr:nvSpPr>
        <xdr:cNvPr id="29712" name="AutoShape 16" descr="Italy">
          <a:hlinkClick xmlns:r="http://schemas.openxmlformats.org/officeDocument/2006/relationships" r:id="rId3" tooltip="Italy"/>
          <a:extLst>
            <a:ext uri="{FF2B5EF4-FFF2-40B4-BE49-F238E27FC236}">
              <a16:creationId xmlns:a16="http://schemas.microsoft.com/office/drawing/2014/main" id="{0F3AF57B-5EDA-CF3A-DBA3-DE4408BCB639}"/>
            </a:ext>
          </a:extLst>
        </xdr:cNvPr>
        <xdr:cNvSpPr>
          <a:spLocks noChangeAspect="1" noChangeArrowheads="1"/>
        </xdr:cNvSpPr>
      </xdr:nvSpPr>
      <xdr:spPr bwMode="auto">
        <a:xfrm>
          <a:off x="14033500" y="5892800"/>
          <a:ext cx="2921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17</xdr:col>
      <xdr:colOff>0</xdr:colOff>
      <xdr:row>2</xdr:row>
      <xdr:rowOff>0</xdr:rowOff>
    </xdr:from>
    <xdr:to>
      <xdr:col>17</xdr:col>
      <xdr:colOff>292100</xdr:colOff>
      <xdr:row>2</xdr:row>
      <xdr:rowOff>152400</xdr:rowOff>
    </xdr:to>
    <xdr:sp macro="" textlink="">
      <xdr:nvSpPr>
        <xdr:cNvPr id="29713" name="AutoShape 17" descr="Azerbaijan">
          <a:hlinkClick xmlns:r="http://schemas.openxmlformats.org/officeDocument/2006/relationships" r:id="rId12" tooltip="Azerbaijan"/>
          <a:extLst>
            <a:ext uri="{FF2B5EF4-FFF2-40B4-BE49-F238E27FC236}">
              <a16:creationId xmlns:a16="http://schemas.microsoft.com/office/drawing/2014/main" id="{5D938CD1-3E83-521A-BE5B-F0E399FBAB8F}"/>
            </a:ext>
          </a:extLst>
        </xdr:cNvPr>
        <xdr:cNvSpPr>
          <a:spLocks noChangeAspect="1" noChangeArrowheads="1"/>
        </xdr:cNvSpPr>
      </xdr:nvSpPr>
      <xdr:spPr bwMode="auto">
        <a:xfrm>
          <a:off x="14859000" y="5892800"/>
          <a:ext cx="2921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18</xdr:col>
      <xdr:colOff>0</xdr:colOff>
      <xdr:row>2</xdr:row>
      <xdr:rowOff>0</xdr:rowOff>
    </xdr:from>
    <xdr:to>
      <xdr:col>18</xdr:col>
      <xdr:colOff>292100</xdr:colOff>
      <xdr:row>2</xdr:row>
      <xdr:rowOff>190500</xdr:rowOff>
    </xdr:to>
    <xdr:sp macro="" textlink="">
      <xdr:nvSpPr>
        <xdr:cNvPr id="29714" name="AutoShape 18" descr="Singapore">
          <a:hlinkClick xmlns:r="http://schemas.openxmlformats.org/officeDocument/2006/relationships" r:id="rId13" tooltip="Singapore"/>
          <a:extLst>
            <a:ext uri="{FF2B5EF4-FFF2-40B4-BE49-F238E27FC236}">
              <a16:creationId xmlns:a16="http://schemas.microsoft.com/office/drawing/2014/main" id="{CA7E10CE-4A49-B729-31AA-E7E55E6D2324}"/>
            </a:ext>
          </a:extLst>
        </xdr:cNvPr>
        <xdr:cNvSpPr>
          <a:spLocks noChangeAspect="1" noChangeArrowheads="1"/>
        </xdr:cNvSpPr>
      </xdr:nvSpPr>
      <xdr:spPr bwMode="auto">
        <a:xfrm>
          <a:off x="15684500" y="5892800"/>
          <a:ext cx="2921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19</xdr:col>
      <xdr:colOff>0</xdr:colOff>
      <xdr:row>2</xdr:row>
      <xdr:rowOff>0</xdr:rowOff>
    </xdr:from>
    <xdr:to>
      <xdr:col>19</xdr:col>
      <xdr:colOff>292100</xdr:colOff>
      <xdr:row>2</xdr:row>
      <xdr:rowOff>152400</xdr:rowOff>
    </xdr:to>
    <xdr:sp macro="" textlink="">
      <xdr:nvSpPr>
        <xdr:cNvPr id="29715" name="AutoShape 19" descr="United States">
          <a:hlinkClick xmlns:r="http://schemas.openxmlformats.org/officeDocument/2006/relationships" r:id="rId2" tooltip="United States"/>
          <a:extLst>
            <a:ext uri="{FF2B5EF4-FFF2-40B4-BE49-F238E27FC236}">
              <a16:creationId xmlns:a16="http://schemas.microsoft.com/office/drawing/2014/main" id="{6B2109D0-8EA4-84E6-98E9-AF58993A3591}"/>
            </a:ext>
          </a:extLst>
        </xdr:cNvPr>
        <xdr:cNvSpPr>
          <a:spLocks noChangeAspect="1" noChangeArrowheads="1"/>
        </xdr:cNvSpPr>
      </xdr:nvSpPr>
      <xdr:spPr bwMode="auto">
        <a:xfrm>
          <a:off x="16510000" y="5892800"/>
          <a:ext cx="2921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20</xdr:col>
      <xdr:colOff>0</xdr:colOff>
      <xdr:row>2</xdr:row>
      <xdr:rowOff>0</xdr:rowOff>
    </xdr:from>
    <xdr:to>
      <xdr:col>20</xdr:col>
      <xdr:colOff>292100</xdr:colOff>
      <xdr:row>2</xdr:row>
      <xdr:rowOff>165100</xdr:rowOff>
    </xdr:to>
    <xdr:sp macro="" textlink="">
      <xdr:nvSpPr>
        <xdr:cNvPr id="29716" name="AutoShape 20" descr="Mexico">
          <a:hlinkClick xmlns:r="http://schemas.openxmlformats.org/officeDocument/2006/relationships" r:id="rId14" tooltip="Mexico"/>
          <a:extLst>
            <a:ext uri="{FF2B5EF4-FFF2-40B4-BE49-F238E27FC236}">
              <a16:creationId xmlns:a16="http://schemas.microsoft.com/office/drawing/2014/main" id="{275BD30B-130A-7E8D-A585-995162E9FD7B}"/>
            </a:ext>
          </a:extLst>
        </xdr:cNvPr>
        <xdr:cNvSpPr>
          <a:spLocks noChangeAspect="1" noChangeArrowheads="1"/>
        </xdr:cNvSpPr>
      </xdr:nvSpPr>
      <xdr:spPr bwMode="auto">
        <a:xfrm>
          <a:off x="17335500" y="5892800"/>
          <a:ext cx="292100" cy="1651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21</xdr:col>
      <xdr:colOff>0</xdr:colOff>
      <xdr:row>2</xdr:row>
      <xdr:rowOff>0</xdr:rowOff>
    </xdr:from>
    <xdr:to>
      <xdr:col>21</xdr:col>
      <xdr:colOff>279400</xdr:colOff>
      <xdr:row>2</xdr:row>
      <xdr:rowOff>190500</xdr:rowOff>
    </xdr:to>
    <xdr:sp macro="" textlink="">
      <xdr:nvSpPr>
        <xdr:cNvPr id="29717" name="AutoShape 21" descr="Brazil">
          <a:hlinkClick xmlns:r="http://schemas.openxmlformats.org/officeDocument/2006/relationships" r:id="rId15" tooltip="Brazil"/>
          <a:extLst>
            <a:ext uri="{FF2B5EF4-FFF2-40B4-BE49-F238E27FC236}">
              <a16:creationId xmlns:a16="http://schemas.microsoft.com/office/drawing/2014/main" id="{9A15838C-5ACE-3B8A-C22F-1FFF07693FCD}"/>
            </a:ext>
          </a:extLst>
        </xdr:cNvPr>
        <xdr:cNvSpPr>
          <a:spLocks noChangeAspect="1" noChangeArrowheads="1"/>
        </xdr:cNvSpPr>
      </xdr:nvSpPr>
      <xdr:spPr bwMode="auto">
        <a:xfrm>
          <a:off x="18161000" y="5892800"/>
          <a:ext cx="2794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22</xdr:col>
      <xdr:colOff>0</xdr:colOff>
      <xdr:row>2</xdr:row>
      <xdr:rowOff>0</xdr:rowOff>
    </xdr:from>
    <xdr:to>
      <xdr:col>22</xdr:col>
      <xdr:colOff>292100</xdr:colOff>
      <xdr:row>2</xdr:row>
      <xdr:rowOff>152400</xdr:rowOff>
    </xdr:to>
    <xdr:sp macro="" textlink="">
      <xdr:nvSpPr>
        <xdr:cNvPr id="29718" name="AutoShape 22" descr="United States">
          <a:hlinkClick xmlns:r="http://schemas.openxmlformats.org/officeDocument/2006/relationships" r:id="rId2" tooltip="United States"/>
          <a:extLst>
            <a:ext uri="{FF2B5EF4-FFF2-40B4-BE49-F238E27FC236}">
              <a16:creationId xmlns:a16="http://schemas.microsoft.com/office/drawing/2014/main" id="{90C3851A-748F-81E7-78BD-84F9F77B5206}"/>
            </a:ext>
          </a:extLst>
        </xdr:cNvPr>
        <xdr:cNvSpPr>
          <a:spLocks noChangeAspect="1" noChangeArrowheads="1"/>
        </xdr:cNvSpPr>
      </xdr:nvSpPr>
      <xdr:spPr bwMode="auto">
        <a:xfrm>
          <a:off x="18986500" y="5892800"/>
          <a:ext cx="2921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23</xdr:col>
      <xdr:colOff>0</xdr:colOff>
      <xdr:row>2</xdr:row>
      <xdr:rowOff>0</xdr:rowOff>
    </xdr:from>
    <xdr:to>
      <xdr:col>23</xdr:col>
      <xdr:colOff>292100</xdr:colOff>
      <xdr:row>2</xdr:row>
      <xdr:rowOff>114300</xdr:rowOff>
    </xdr:to>
    <xdr:sp macro="" textlink="">
      <xdr:nvSpPr>
        <xdr:cNvPr id="29719" name="AutoShape 23" descr="Qatar">
          <a:hlinkClick xmlns:r="http://schemas.openxmlformats.org/officeDocument/2006/relationships" r:id="rId16" tooltip="Qatar"/>
          <a:extLst>
            <a:ext uri="{FF2B5EF4-FFF2-40B4-BE49-F238E27FC236}">
              <a16:creationId xmlns:a16="http://schemas.microsoft.com/office/drawing/2014/main" id="{0A033083-9C3E-24E4-DDBA-A11A1379ACC0}"/>
            </a:ext>
          </a:extLst>
        </xdr:cNvPr>
        <xdr:cNvSpPr>
          <a:spLocks noChangeAspect="1" noChangeArrowheads="1"/>
        </xdr:cNvSpPr>
      </xdr:nvSpPr>
      <xdr:spPr bwMode="auto">
        <a:xfrm>
          <a:off x="19812000" y="5892800"/>
          <a:ext cx="292100" cy="1143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24</xdr:col>
      <xdr:colOff>0</xdr:colOff>
      <xdr:row>2</xdr:row>
      <xdr:rowOff>0</xdr:rowOff>
    </xdr:from>
    <xdr:to>
      <xdr:col>24</xdr:col>
      <xdr:colOff>292100</xdr:colOff>
      <xdr:row>2</xdr:row>
      <xdr:rowOff>152400</xdr:rowOff>
    </xdr:to>
    <xdr:sp macro="" textlink="">
      <xdr:nvSpPr>
        <xdr:cNvPr id="29720" name="AutoShape 24" descr="United Arab Emirates">
          <a:hlinkClick xmlns:r="http://schemas.openxmlformats.org/officeDocument/2006/relationships" r:id="rId17" tooltip="United Arab Emirates"/>
          <a:extLst>
            <a:ext uri="{FF2B5EF4-FFF2-40B4-BE49-F238E27FC236}">
              <a16:creationId xmlns:a16="http://schemas.microsoft.com/office/drawing/2014/main" id="{BFA09AAA-486E-3E85-1B83-EA109B128C16}"/>
            </a:ext>
          </a:extLst>
        </xdr:cNvPr>
        <xdr:cNvSpPr>
          <a:spLocks noChangeAspect="1" noChangeArrowheads="1"/>
        </xdr:cNvSpPr>
      </xdr:nvSpPr>
      <xdr:spPr bwMode="auto">
        <a:xfrm>
          <a:off x="20637500" y="5892800"/>
          <a:ext cx="2921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xdr:row>
      <xdr:rowOff>0</xdr:rowOff>
    </xdr:from>
    <xdr:to>
      <xdr:col>0</xdr:col>
      <xdr:colOff>292100</xdr:colOff>
      <xdr:row>2</xdr:row>
      <xdr:rowOff>152400</xdr:rowOff>
    </xdr:to>
    <xdr:sp macro="" textlink="">
      <xdr:nvSpPr>
        <xdr:cNvPr id="29721" name="AutoShape 25" descr="United Kingdom">
          <a:hlinkClick xmlns:r="http://schemas.openxmlformats.org/officeDocument/2006/relationships" r:id="rId8" tooltip="United Kingdom"/>
          <a:extLst>
            <a:ext uri="{FF2B5EF4-FFF2-40B4-BE49-F238E27FC236}">
              <a16:creationId xmlns:a16="http://schemas.microsoft.com/office/drawing/2014/main" id="{CA47F081-7FB6-7BC0-9A00-D4EC44FF746F}"/>
            </a:ext>
          </a:extLst>
        </xdr:cNvPr>
        <xdr:cNvSpPr>
          <a:spLocks noChangeAspect="1" noChangeArrowheads="1"/>
        </xdr:cNvSpPr>
      </xdr:nvSpPr>
      <xdr:spPr bwMode="auto">
        <a:xfrm>
          <a:off x="825500" y="6096000"/>
          <a:ext cx="2921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xdr:row>
      <xdr:rowOff>0</xdr:rowOff>
    </xdr:from>
    <xdr:to>
      <xdr:col>0</xdr:col>
      <xdr:colOff>292100</xdr:colOff>
      <xdr:row>3</xdr:row>
      <xdr:rowOff>190500</xdr:rowOff>
    </xdr:to>
    <xdr:sp macro="" textlink="">
      <xdr:nvSpPr>
        <xdr:cNvPr id="29722" name="AutoShape 26" descr="Netherlands">
          <a:hlinkClick xmlns:r="http://schemas.openxmlformats.org/officeDocument/2006/relationships" r:id="rId11" tooltip="Netherlands"/>
          <a:extLst>
            <a:ext uri="{FF2B5EF4-FFF2-40B4-BE49-F238E27FC236}">
              <a16:creationId xmlns:a16="http://schemas.microsoft.com/office/drawing/2014/main" id="{D65D6458-0E9C-D60E-3567-05CD5A19AA36}"/>
            </a:ext>
          </a:extLst>
        </xdr:cNvPr>
        <xdr:cNvSpPr>
          <a:spLocks noChangeAspect="1" noChangeArrowheads="1"/>
        </xdr:cNvSpPr>
      </xdr:nvSpPr>
      <xdr:spPr bwMode="auto">
        <a:xfrm>
          <a:off x="825500" y="6324600"/>
          <a:ext cx="2921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xdr:row>
      <xdr:rowOff>0</xdr:rowOff>
    </xdr:from>
    <xdr:to>
      <xdr:col>0</xdr:col>
      <xdr:colOff>292100</xdr:colOff>
      <xdr:row>4</xdr:row>
      <xdr:rowOff>152400</xdr:rowOff>
    </xdr:to>
    <xdr:pic>
      <xdr:nvPicPr>
        <xdr:cNvPr id="6" name="Picture 5" descr="Australia">
          <a:hlinkClick xmlns:r="http://schemas.openxmlformats.org/officeDocument/2006/relationships" r:id="rId18" tooltip="Australia"/>
          <a:extLst>
            <a:ext uri="{FF2B5EF4-FFF2-40B4-BE49-F238E27FC236}">
              <a16:creationId xmlns:a16="http://schemas.microsoft.com/office/drawing/2014/main" id="{DC2D6798-B9DD-B35E-F2F1-16D540AE1539}"/>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825500" y="6553200"/>
          <a:ext cx="2921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xdr:row>
      <xdr:rowOff>0</xdr:rowOff>
    </xdr:from>
    <xdr:to>
      <xdr:col>0</xdr:col>
      <xdr:colOff>292100</xdr:colOff>
      <xdr:row>5</xdr:row>
      <xdr:rowOff>152400</xdr:rowOff>
    </xdr:to>
    <xdr:sp macro="" textlink="">
      <xdr:nvSpPr>
        <xdr:cNvPr id="29724" name="AutoShape 28" descr="United Kingdom">
          <a:hlinkClick xmlns:r="http://schemas.openxmlformats.org/officeDocument/2006/relationships" r:id="rId8" tooltip="United Kingdom"/>
          <a:extLst>
            <a:ext uri="{FF2B5EF4-FFF2-40B4-BE49-F238E27FC236}">
              <a16:creationId xmlns:a16="http://schemas.microsoft.com/office/drawing/2014/main" id="{AC1FEF26-8DCD-A2F7-3821-402271CF6C47}"/>
            </a:ext>
          </a:extLst>
        </xdr:cNvPr>
        <xdr:cNvSpPr>
          <a:spLocks noChangeAspect="1" noChangeArrowheads="1"/>
        </xdr:cNvSpPr>
      </xdr:nvSpPr>
      <xdr:spPr bwMode="auto">
        <a:xfrm>
          <a:off x="825500" y="6781800"/>
          <a:ext cx="2921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xdr:row>
      <xdr:rowOff>0</xdr:rowOff>
    </xdr:from>
    <xdr:to>
      <xdr:col>0</xdr:col>
      <xdr:colOff>241300</xdr:colOff>
      <xdr:row>6</xdr:row>
      <xdr:rowOff>190500</xdr:rowOff>
    </xdr:to>
    <xdr:sp macro="" textlink="">
      <xdr:nvSpPr>
        <xdr:cNvPr id="29725" name="AutoShape 29" descr="Monaco">
          <a:hlinkClick xmlns:r="http://schemas.openxmlformats.org/officeDocument/2006/relationships" r:id="rId4" tooltip="Monaco"/>
          <a:extLst>
            <a:ext uri="{FF2B5EF4-FFF2-40B4-BE49-F238E27FC236}">
              <a16:creationId xmlns:a16="http://schemas.microsoft.com/office/drawing/2014/main" id="{77C340A1-6082-4250-5EEE-88A7CC557EFF}"/>
            </a:ext>
          </a:extLst>
        </xdr:cNvPr>
        <xdr:cNvSpPr>
          <a:spLocks noChangeAspect="1" noChangeArrowheads="1"/>
        </xdr:cNvSpPr>
      </xdr:nvSpPr>
      <xdr:spPr bwMode="auto">
        <a:xfrm>
          <a:off x="825500" y="7010400"/>
          <a:ext cx="2413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xdr:row>
      <xdr:rowOff>0</xdr:rowOff>
    </xdr:from>
    <xdr:to>
      <xdr:col>0</xdr:col>
      <xdr:colOff>292100</xdr:colOff>
      <xdr:row>7</xdr:row>
      <xdr:rowOff>152400</xdr:rowOff>
    </xdr:to>
    <xdr:sp macro="" textlink="">
      <xdr:nvSpPr>
        <xdr:cNvPr id="29726" name="AutoShape 30" descr="United Kingdom">
          <a:hlinkClick xmlns:r="http://schemas.openxmlformats.org/officeDocument/2006/relationships" r:id="rId8" tooltip="United Kingdom"/>
          <a:extLst>
            <a:ext uri="{FF2B5EF4-FFF2-40B4-BE49-F238E27FC236}">
              <a16:creationId xmlns:a16="http://schemas.microsoft.com/office/drawing/2014/main" id="{151A9B6F-AA43-4CEC-EBA1-5B28AB52AD15}"/>
            </a:ext>
          </a:extLst>
        </xdr:cNvPr>
        <xdr:cNvSpPr>
          <a:spLocks noChangeAspect="1" noChangeArrowheads="1"/>
        </xdr:cNvSpPr>
      </xdr:nvSpPr>
      <xdr:spPr bwMode="auto">
        <a:xfrm>
          <a:off x="825500" y="7239000"/>
          <a:ext cx="2921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xdr:row>
      <xdr:rowOff>0</xdr:rowOff>
    </xdr:from>
    <xdr:to>
      <xdr:col>0</xdr:col>
      <xdr:colOff>292100</xdr:colOff>
      <xdr:row>8</xdr:row>
      <xdr:rowOff>190500</xdr:rowOff>
    </xdr:to>
    <xdr:sp macro="" textlink="">
      <xdr:nvSpPr>
        <xdr:cNvPr id="29727" name="AutoShape 31" descr="Italy">
          <a:hlinkClick xmlns:r="http://schemas.openxmlformats.org/officeDocument/2006/relationships" r:id="rId3" tooltip="Italy"/>
          <a:extLst>
            <a:ext uri="{FF2B5EF4-FFF2-40B4-BE49-F238E27FC236}">
              <a16:creationId xmlns:a16="http://schemas.microsoft.com/office/drawing/2014/main" id="{E0E61AD7-786F-EAD7-D3A3-48AE388F43F9}"/>
            </a:ext>
          </a:extLst>
        </xdr:cNvPr>
        <xdr:cNvSpPr>
          <a:spLocks noChangeAspect="1" noChangeArrowheads="1"/>
        </xdr:cNvSpPr>
      </xdr:nvSpPr>
      <xdr:spPr bwMode="auto">
        <a:xfrm>
          <a:off x="825500" y="7467600"/>
          <a:ext cx="2921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xdr:row>
      <xdr:rowOff>0</xdr:rowOff>
    </xdr:from>
    <xdr:to>
      <xdr:col>0</xdr:col>
      <xdr:colOff>292100</xdr:colOff>
      <xdr:row>9</xdr:row>
      <xdr:rowOff>190500</xdr:rowOff>
    </xdr:to>
    <xdr:sp macro="" textlink="">
      <xdr:nvSpPr>
        <xdr:cNvPr id="29728" name="AutoShape 32" descr="Thailand">
          <a:hlinkClick xmlns:r="http://schemas.openxmlformats.org/officeDocument/2006/relationships" r:id="rId20" tooltip="Thailand"/>
          <a:extLst>
            <a:ext uri="{FF2B5EF4-FFF2-40B4-BE49-F238E27FC236}">
              <a16:creationId xmlns:a16="http://schemas.microsoft.com/office/drawing/2014/main" id="{64F5D53F-031F-5E48-3996-375C8DD955E0}"/>
            </a:ext>
          </a:extLst>
        </xdr:cNvPr>
        <xdr:cNvSpPr>
          <a:spLocks noChangeAspect="1" noChangeArrowheads="1"/>
        </xdr:cNvSpPr>
      </xdr:nvSpPr>
      <xdr:spPr bwMode="auto">
        <a:xfrm>
          <a:off x="825500" y="7696200"/>
          <a:ext cx="2921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xdr:row>
      <xdr:rowOff>0</xdr:rowOff>
    </xdr:from>
    <xdr:to>
      <xdr:col>0</xdr:col>
      <xdr:colOff>292100</xdr:colOff>
      <xdr:row>10</xdr:row>
      <xdr:rowOff>190500</xdr:rowOff>
    </xdr:to>
    <xdr:sp macro="" textlink="">
      <xdr:nvSpPr>
        <xdr:cNvPr id="29729" name="AutoShape 33" descr="Spain">
          <a:hlinkClick xmlns:r="http://schemas.openxmlformats.org/officeDocument/2006/relationships" r:id="rId5" tooltip="Spain"/>
          <a:extLst>
            <a:ext uri="{FF2B5EF4-FFF2-40B4-BE49-F238E27FC236}">
              <a16:creationId xmlns:a16="http://schemas.microsoft.com/office/drawing/2014/main" id="{883E7A8E-51B7-6540-9963-CCABE33BC7DC}"/>
            </a:ext>
          </a:extLst>
        </xdr:cNvPr>
        <xdr:cNvSpPr>
          <a:spLocks noChangeAspect="1" noChangeArrowheads="1"/>
        </xdr:cNvSpPr>
      </xdr:nvSpPr>
      <xdr:spPr bwMode="auto">
        <a:xfrm>
          <a:off x="825500" y="7924800"/>
          <a:ext cx="2921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xdr:row>
      <xdr:rowOff>0</xdr:rowOff>
    </xdr:from>
    <xdr:to>
      <xdr:col>0</xdr:col>
      <xdr:colOff>292100</xdr:colOff>
      <xdr:row>11</xdr:row>
      <xdr:rowOff>190500</xdr:rowOff>
    </xdr:to>
    <xdr:sp macro="" textlink="">
      <xdr:nvSpPr>
        <xdr:cNvPr id="29730" name="AutoShape 34" descr="Spain">
          <a:hlinkClick xmlns:r="http://schemas.openxmlformats.org/officeDocument/2006/relationships" r:id="rId5" tooltip="Spain"/>
          <a:extLst>
            <a:ext uri="{FF2B5EF4-FFF2-40B4-BE49-F238E27FC236}">
              <a16:creationId xmlns:a16="http://schemas.microsoft.com/office/drawing/2014/main" id="{D8267DC5-1119-3F58-7D20-1783AC4BFFB0}"/>
            </a:ext>
          </a:extLst>
        </xdr:cNvPr>
        <xdr:cNvSpPr>
          <a:spLocks noChangeAspect="1" noChangeArrowheads="1"/>
        </xdr:cNvSpPr>
      </xdr:nvSpPr>
      <xdr:spPr bwMode="auto">
        <a:xfrm>
          <a:off x="825500" y="8153400"/>
          <a:ext cx="2921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xdr:row>
      <xdr:rowOff>0</xdr:rowOff>
    </xdr:from>
    <xdr:to>
      <xdr:col>0</xdr:col>
      <xdr:colOff>292100</xdr:colOff>
      <xdr:row>12</xdr:row>
      <xdr:rowOff>177800</xdr:rowOff>
    </xdr:to>
    <xdr:sp macro="" textlink="">
      <xdr:nvSpPr>
        <xdr:cNvPr id="29731" name="AutoShape 35" descr="Germany">
          <a:hlinkClick xmlns:r="http://schemas.openxmlformats.org/officeDocument/2006/relationships" r:id="rId21" tooltip="Germany"/>
          <a:extLst>
            <a:ext uri="{FF2B5EF4-FFF2-40B4-BE49-F238E27FC236}">
              <a16:creationId xmlns:a16="http://schemas.microsoft.com/office/drawing/2014/main" id="{95F92FD2-19A9-5384-35CF-4EA5F08CEEAD}"/>
            </a:ext>
          </a:extLst>
        </xdr:cNvPr>
        <xdr:cNvSpPr>
          <a:spLocks noChangeAspect="1" noChangeArrowheads="1"/>
        </xdr:cNvSpPr>
      </xdr:nvSpPr>
      <xdr:spPr bwMode="auto">
        <a:xfrm>
          <a:off x="825500" y="8382000"/>
          <a:ext cx="292100" cy="177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xdr:row>
      <xdr:rowOff>0</xdr:rowOff>
    </xdr:from>
    <xdr:to>
      <xdr:col>0</xdr:col>
      <xdr:colOff>292100</xdr:colOff>
      <xdr:row>13</xdr:row>
      <xdr:rowOff>190500</xdr:rowOff>
    </xdr:to>
    <xdr:sp macro="" textlink="">
      <xdr:nvSpPr>
        <xdr:cNvPr id="29732" name="AutoShape 36" descr="France">
          <a:hlinkClick xmlns:r="http://schemas.openxmlformats.org/officeDocument/2006/relationships" r:id="rId22" tooltip="France"/>
          <a:extLst>
            <a:ext uri="{FF2B5EF4-FFF2-40B4-BE49-F238E27FC236}">
              <a16:creationId xmlns:a16="http://schemas.microsoft.com/office/drawing/2014/main" id="{089A4BEC-BBE4-2840-8A6C-4CD14379A2DB}"/>
            </a:ext>
          </a:extLst>
        </xdr:cNvPr>
        <xdr:cNvSpPr>
          <a:spLocks noChangeAspect="1" noChangeArrowheads="1"/>
        </xdr:cNvSpPr>
      </xdr:nvSpPr>
      <xdr:spPr bwMode="auto">
        <a:xfrm>
          <a:off x="825500" y="8610600"/>
          <a:ext cx="2921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14</xdr:row>
      <xdr:rowOff>0</xdr:rowOff>
    </xdr:from>
    <xdr:to>
      <xdr:col>0</xdr:col>
      <xdr:colOff>292100</xdr:colOff>
      <xdr:row>14</xdr:row>
      <xdr:rowOff>152400</xdr:rowOff>
    </xdr:to>
    <xdr:sp macro="" textlink="">
      <xdr:nvSpPr>
        <xdr:cNvPr id="29733" name="AutoShape 37" descr="United Kingdom">
          <a:hlinkClick xmlns:r="http://schemas.openxmlformats.org/officeDocument/2006/relationships" r:id="rId8" tooltip="United Kingdom"/>
          <a:extLst>
            <a:ext uri="{FF2B5EF4-FFF2-40B4-BE49-F238E27FC236}">
              <a16:creationId xmlns:a16="http://schemas.microsoft.com/office/drawing/2014/main" id="{5B37B6BE-F2FE-EDF8-EBE9-58F3419C982C}"/>
            </a:ext>
          </a:extLst>
        </xdr:cNvPr>
        <xdr:cNvSpPr>
          <a:spLocks noChangeAspect="1" noChangeArrowheads="1"/>
        </xdr:cNvSpPr>
      </xdr:nvSpPr>
      <xdr:spPr bwMode="auto">
        <a:xfrm>
          <a:off x="825500" y="8839200"/>
          <a:ext cx="2921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15</xdr:row>
      <xdr:rowOff>0</xdr:rowOff>
    </xdr:from>
    <xdr:to>
      <xdr:col>0</xdr:col>
      <xdr:colOff>292100</xdr:colOff>
      <xdr:row>15</xdr:row>
      <xdr:rowOff>152400</xdr:rowOff>
    </xdr:to>
    <xdr:sp macro="" textlink="">
      <xdr:nvSpPr>
        <xdr:cNvPr id="29734" name="AutoShape 38" descr="New Zealand">
          <a:hlinkClick xmlns:r="http://schemas.openxmlformats.org/officeDocument/2006/relationships" r:id="rId23" tooltip="New Zealand"/>
          <a:extLst>
            <a:ext uri="{FF2B5EF4-FFF2-40B4-BE49-F238E27FC236}">
              <a16:creationId xmlns:a16="http://schemas.microsoft.com/office/drawing/2014/main" id="{59CB9872-056A-A04A-3716-8F3C02639DC7}"/>
            </a:ext>
          </a:extLst>
        </xdr:cNvPr>
        <xdr:cNvSpPr>
          <a:spLocks noChangeAspect="1" noChangeArrowheads="1"/>
        </xdr:cNvSpPr>
      </xdr:nvSpPr>
      <xdr:spPr bwMode="auto">
        <a:xfrm>
          <a:off x="825500" y="9067800"/>
          <a:ext cx="2921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16</xdr:row>
      <xdr:rowOff>0</xdr:rowOff>
    </xdr:from>
    <xdr:to>
      <xdr:col>0</xdr:col>
      <xdr:colOff>292100</xdr:colOff>
      <xdr:row>16</xdr:row>
      <xdr:rowOff>190500</xdr:rowOff>
    </xdr:to>
    <xdr:sp macro="" textlink="">
      <xdr:nvSpPr>
        <xdr:cNvPr id="29735" name="AutoShape 39" descr="France">
          <a:hlinkClick xmlns:r="http://schemas.openxmlformats.org/officeDocument/2006/relationships" r:id="rId22" tooltip="France"/>
          <a:extLst>
            <a:ext uri="{FF2B5EF4-FFF2-40B4-BE49-F238E27FC236}">
              <a16:creationId xmlns:a16="http://schemas.microsoft.com/office/drawing/2014/main" id="{A9EB5030-DB0E-2680-19FE-C98F424405F6}"/>
            </a:ext>
          </a:extLst>
        </xdr:cNvPr>
        <xdr:cNvSpPr>
          <a:spLocks noChangeAspect="1" noChangeArrowheads="1"/>
        </xdr:cNvSpPr>
      </xdr:nvSpPr>
      <xdr:spPr bwMode="auto">
        <a:xfrm>
          <a:off x="825500" y="9296400"/>
          <a:ext cx="2921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17</xdr:row>
      <xdr:rowOff>0</xdr:rowOff>
    </xdr:from>
    <xdr:to>
      <xdr:col>0</xdr:col>
      <xdr:colOff>292100</xdr:colOff>
      <xdr:row>17</xdr:row>
      <xdr:rowOff>152400</xdr:rowOff>
    </xdr:to>
    <xdr:sp macro="" textlink="">
      <xdr:nvSpPr>
        <xdr:cNvPr id="29736" name="AutoShape 40" descr="Canada">
          <a:hlinkClick xmlns:r="http://schemas.openxmlformats.org/officeDocument/2006/relationships" r:id="rId6" tooltip="Canada"/>
          <a:extLst>
            <a:ext uri="{FF2B5EF4-FFF2-40B4-BE49-F238E27FC236}">
              <a16:creationId xmlns:a16="http://schemas.microsoft.com/office/drawing/2014/main" id="{E6813427-A279-5855-46CA-F5839F17F10F}"/>
            </a:ext>
          </a:extLst>
        </xdr:cNvPr>
        <xdr:cNvSpPr>
          <a:spLocks noChangeAspect="1" noChangeArrowheads="1"/>
        </xdr:cNvSpPr>
      </xdr:nvSpPr>
      <xdr:spPr bwMode="auto">
        <a:xfrm>
          <a:off x="825500" y="9525000"/>
          <a:ext cx="2921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18</xdr:row>
      <xdr:rowOff>0</xdr:rowOff>
    </xdr:from>
    <xdr:to>
      <xdr:col>0</xdr:col>
      <xdr:colOff>292100</xdr:colOff>
      <xdr:row>18</xdr:row>
      <xdr:rowOff>190500</xdr:rowOff>
    </xdr:to>
    <xdr:pic>
      <xdr:nvPicPr>
        <xdr:cNvPr id="7" name="Picture 6" descr="Japan">
          <a:hlinkClick xmlns:r="http://schemas.openxmlformats.org/officeDocument/2006/relationships" r:id="rId24" tooltip="Japan"/>
          <a:extLst>
            <a:ext uri="{FF2B5EF4-FFF2-40B4-BE49-F238E27FC236}">
              <a16:creationId xmlns:a16="http://schemas.microsoft.com/office/drawing/2014/main" id="{FDA87C8F-F606-C375-4BEB-956EA306C657}"/>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825500" y="9753600"/>
          <a:ext cx="29210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19</xdr:row>
      <xdr:rowOff>0</xdr:rowOff>
    </xdr:from>
    <xdr:to>
      <xdr:col>0</xdr:col>
      <xdr:colOff>292100</xdr:colOff>
      <xdr:row>19</xdr:row>
      <xdr:rowOff>190500</xdr:rowOff>
    </xdr:to>
    <xdr:sp macro="" textlink="">
      <xdr:nvSpPr>
        <xdr:cNvPr id="29738" name="AutoShape 42" descr="France">
          <a:hlinkClick xmlns:r="http://schemas.openxmlformats.org/officeDocument/2006/relationships" r:id="rId22" tooltip="France"/>
          <a:extLst>
            <a:ext uri="{FF2B5EF4-FFF2-40B4-BE49-F238E27FC236}">
              <a16:creationId xmlns:a16="http://schemas.microsoft.com/office/drawing/2014/main" id="{0CA95115-B8B7-0D63-CF12-81A7B170F9E4}"/>
            </a:ext>
          </a:extLst>
        </xdr:cNvPr>
        <xdr:cNvSpPr>
          <a:spLocks noChangeAspect="1" noChangeArrowheads="1"/>
        </xdr:cNvSpPr>
      </xdr:nvSpPr>
      <xdr:spPr bwMode="auto">
        <a:xfrm>
          <a:off x="825500" y="9982200"/>
          <a:ext cx="2921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20</xdr:row>
      <xdr:rowOff>0</xdr:rowOff>
    </xdr:from>
    <xdr:to>
      <xdr:col>0</xdr:col>
      <xdr:colOff>279400</xdr:colOff>
      <xdr:row>20</xdr:row>
      <xdr:rowOff>190500</xdr:rowOff>
    </xdr:to>
    <xdr:sp macro="" textlink="">
      <xdr:nvSpPr>
        <xdr:cNvPr id="29739" name="AutoShape 43" descr="Brazil">
          <a:hlinkClick xmlns:r="http://schemas.openxmlformats.org/officeDocument/2006/relationships" r:id="rId15" tooltip="Brazil"/>
          <a:extLst>
            <a:ext uri="{FF2B5EF4-FFF2-40B4-BE49-F238E27FC236}">
              <a16:creationId xmlns:a16="http://schemas.microsoft.com/office/drawing/2014/main" id="{F0EB5BC9-23B3-0DE8-E5AF-D607354ECF68}"/>
            </a:ext>
          </a:extLst>
        </xdr:cNvPr>
        <xdr:cNvSpPr>
          <a:spLocks noChangeAspect="1" noChangeArrowheads="1"/>
        </xdr:cNvSpPr>
      </xdr:nvSpPr>
      <xdr:spPr bwMode="auto">
        <a:xfrm>
          <a:off x="825500" y="10210800"/>
          <a:ext cx="2794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21</xdr:row>
      <xdr:rowOff>0</xdr:rowOff>
    </xdr:from>
    <xdr:to>
      <xdr:col>0</xdr:col>
      <xdr:colOff>292100</xdr:colOff>
      <xdr:row>21</xdr:row>
      <xdr:rowOff>177800</xdr:rowOff>
    </xdr:to>
    <xdr:sp macro="" textlink="">
      <xdr:nvSpPr>
        <xdr:cNvPr id="29740" name="AutoShape 44" descr="Argentina">
          <a:hlinkClick xmlns:r="http://schemas.openxmlformats.org/officeDocument/2006/relationships" r:id="rId26" tooltip="Argentina"/>
          <a:extLst>
            <a:ext uri="{FF2B5EF4-FFF2-40B4-BE49-F238E27FC236}">
              <a16:creationId xmlns:a16="http://schemas.microsoft.com/office/drawing/2014/main" id="{B9C10E31-C467-C3CC-2B8F-1376A3795185}"/>
            </a:ext>
          </a:extLst>
        </xdr:cNvPr>
        <xdr:cNvSpPr>
          <a:spLocks noChangeAspect="1" noChangeArrowheads="1"/>
        </xdr:cNvSpPr>
      </xdr:nvSpPr>
      <xdr:spPr bwMode="auto">
        <a:xfrm>
          <a:off x="825500" y="10439400"/>
          <a:ext cx="292100" cy="177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22</xdr:row>
      <xdr:rowOff>0</xdr:rowOff>
    </xdr:from>
    <xdr:to>
      <xdr:col>0</xdr:col>
      <xdr:colOff>292100</xdr:colOff>
      <xdr:row>22</xdr:row>
      <xdr:rowOff>152400</xdr:rowOff>
    </xdr:to>
    <xdr:pic>
      <xdr:nvPicPr>
        <xdr:cNvPr id="8" name="Picture 7" descr="Australia">
          <a:hlinkClick xmlns:r="http://schemas.openxmlformats.org/officeDocument/2006/relationships" r:id="rId18" tooltip="Australia"/>
          <a:extLst>
            <a:ext uri="{FF2B5EF4-FFF2-40B4-BE49-F238E27FC236}">
              <a16:creationId xmlns:a16="http://schemas.microsoft.com/office/drawing/2014/main" id="{FD679D6F-B6AF-FC48-C1C3-3465D238794E}"/>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825500" y="10668000"/>
          <a:ext cx="2921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5</xdr:col>
      <xdr:colOff>0</xdr:colOff>
      <xdr:row>59</xdr:row>
      <xdr:rowOff>0</xdr:rowOff>
    </xdr:from>
    <xdr:ext cx="292100" cy="190500"/>
    <xdr:sp macro="" textlink="">
      <xdr:nvSpPr>
        <xdr:cNvPr id="13" name="AutoShape 5" descr="Saudi Arabia">
          <a:hlinkClick xmlns:r="http://schemas.openxmlformats.org/officeDocument/2006/relationships" r:id="rId1" tooltip="Saudi Arabia"/>
          <a:extLst>
            <a:ext uri="{FF2B5EF4-FFF2-40B4-BE49-F238E27FC236}">
              <a16:creationId xmlns:a16="http://schemas.microsoft.com/office/drawing/2014/main" id="{7EDF99B6-82F7-6847-ABDA-6E379057153C}"/>
            </a:ext>
          </a:extLst>
        </xdr:cNvPr>
        <xdr:cNvSpPr>
          <a:spLocks noChangeAspect="1" noChangeArrowheads="1"/>
        </xdr:cNvSpPr>
      </xdr:nvSpPr>
      <xdr:spPr bwMode="auto">
        <a:xfrm>
          <a:off x="5397500" y="203200"/>
          <a:ext cx="2921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59</xdr:row>
      <xdr:rowOff>0</xdr:rowOff>
    </xdr:from>
    <xdr:ext cx="292100" cy="152400"/>
    <xdr:sp macro="" textlink="">
      <xdr:nvSpPr>
        <xdr:cNvPr id="14" name="AutoShape 6" descr="United States">
          <a:hlinkClick xmlns:r="http://schemas.openxmlformats.org/officeDocument/2006/relationships" r:id="rId2" tooltip="United States"/>
          <a:extLst>
            <a:ext uri="{FF2B5EF4-FFF2-40B4-BE49-F238E27FC236}">
              <a16:creationId xmlns:a16="http://schemas.microsoft.com/office/drawing/2014/main" id="{A9D82A29-DF16-BE4E-95EB-1D70F6AD77E4}"/>
            </a:ext>
          </a:extLst>
        </xdr:cNvPr>
        <xdr:cNvSpPr>
          <a:spLocks noChangeAspect="1" noChangeArrowheads="1"/>
        </xdr:cNvSpPr>
      </xdr:nvSpPr>
      <xdr:spPr bwMode="auto">
        <a:xfrm>
          <a:off x="6223000" y="203200"/>
          <a:ext cx="2921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59</xdr:row>
      <xdr:rowOff>0</xdr:rowOff>
    </xdr:from>
    <xdr:ext cx="292100" cy="190500"/>
    <xdr:sp macro="" textlink="">
      <xdr:nvSpPr>
        <xdr:cNvPr id="15" name="AutoShape 7" descr="Italy">
          <a:hlinkClick xmlns:r="http://schemas.openxmlformats.org/officeDocument/2006/relationships" r:id="rId3" tooltip="Italy"/>
          <a:extLst>
            <a:ext uri="{FF2B5EF4-FFF2-40B4-BE49-F238E27FC236}">
              <a16:creationId xmlns:a16="http://schemas.microsoft.com/office/drawing/2014/main" id="{8FB2AF5C-6CC3-B64F-A8E4-E115A7D55241}"/>
            </a:ext>
          </a:extLst>
        </xdr:cNvPr>
        <xdr:cNvSpPr>
          <a:spLocks noChangeAspect="1" noChangeArrowheads="1"/>
        </xdr:cNvSpPr>
      </xdr:nvSpPr>
      <xdr:spPr bwMode="auto">
        <a:xfrm>
          <a:off x="7048500" y="203200"/>
          <a:ext cx="2921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59</xdr:row>
      <xdr:rowOff>0</xdr:rowOff>
    </xdr:from>
    <xdr:ext cx="241300" cy="190500"/>
    <xdr:sp macro="" textlink="">
      <xdr:nvSpPr>
        <xdr:cNvPr id="16" name="AutoShape 8" descr="Monaco">
          <a:hlinkClick xmlns:r="http://schemas.openxmlformats.org/officeDocument/2006/relationships" r:id="rId4" tooltip="Monaco"/>
          <a:extLst>
            <a:ext uri="{FF2B5EF4-FFF2-40B4-BE49-F238E27FC236}">
              <a16:creationId xmlns:a16="http://schemas.microsoft.com/office/drawing/2014/main" id="{14FA422D-223B-A847-B06B-A0F1E01CE629}"/>
            </a:ext>
          </a:extLst>
        </xdr:cNvPr>
        <xdr:cNvSpPr>
          <a:spLocks noChangeAspect="1" noChangeArrowheads="1"/>
        </xdr:cNvSpPr>
      </xdr:nvSpPr>
      <xdr:spPr bwMode="auto">
        <a:xfrm>
          <a:off x="7874000" y="203200"/>
          <a:ext cx="2413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9</xdr:col>
      <xdr:colOff>0</xdr:colOff>
      <xdr:row>59</xdr:row>
      <xdr:rowOff>0</xdr:rowOff>
    </xdr:from>
    <xdr:ext cx="292100" cy="190500"/>
    <xdr:sp macro="" textlink="">
      <xdr:nvSpPr>
        <xdr:cNvPr id="17" name="AutoShape 9" descr="Spain">
          <a:hlinkClick xmlns:r="http://schemas.openxmlformats.org/officeDocument/2006/relationships" r:id="rId5" tooltip="Spain"/>
          <a:extLst>
            <a:ext uri="{FF2B5EF4-FFF2-40B4-BE49-F238E27FC236}">
              <a16:creationId xmlns:a16="http://schemas.microsoft.com/office/drawing/2014/main" id="{F3C77410-98B4-FC43-85B2-A21574EA0565}"/>
            </a:ext>
          </a:extLst>
        </xdr:cNvPr>
        <xdr:cNvSpPr>
          <a:spLocks noChangeAspect="1" noChangeArrowheads="1"/>
        </xdr:cNvSpPr>
      </xdr:nvSpPr>
      <xdr:spPr bwMode="auto">
        <a:xfrm>
          <a:off x="8699500" y="203200"/>
          <a:ext cx="2921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10</xdr:col>
      <xdr:colOff>0</xdr:colOff>
      <xdr:row>59</xdr:row>
      <xdr:rowOff>0</xdr:rowOff>
    </xdr:from>
    <xdr:ext cx="292100" cy="152400"/>
    <xdr:sp macro="" textlink="">
      <xdr:nvSpPr>
        <xdr:cNvPr id="18" name="AutoShape 10" descr="Canada">
          <a:hlinkClick xmlns:r="http://schemas.openxmlformats.org/officeDocument/2006/relationships" r:id="rId6" tooltip="Canada"/>
          <a:extLst>
            <a:ext uri="{FF2B5EF4-FFF2-40B4-BE49-F238E27FC236}">
              <a16:creationId xmlns:a16="http://schemas.microsoft.com/office/drawing/2014/main" id="{951B82A4-17C1-BD49-8BBF-D6CDC9268736}"/>
            </a:ext>
          </a:extLst>
        </xdr:cNvPr>
        <xdr:cNvSpPr>
          <a:spLocks noChangeAspect="1" noChangeArrowheads="1"/>
        </xdr:cNvSpPr>
      </xdr:nvSpPr>
      <xdr:spPr bwMode="auto">
        <a:xfrm>
          <a:off x="9525000" y="203200"/>
          <a:ext cx="2921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59</xdr:row>
      <xdr:rowOff>0</xdr:rowOff>
    </xdr:from>
    <xdr:ext cx="292100" cy="190500"/>
    <xdr:sp macro="" textlink="">
      <xdr:nvSpPr>
        <xdr:cNvPr id="19" name="AutoShape 11" descr="Austria">
          <a:hlinkClick xmlns:r="http://schemas.openxmlformats.org/officeDocument/2006/relationships" r:id="rId7" tooltip="Austria"/>
          <a:extLst>
            <a:ext uri="{FF2B5EF4-FFF2-40B4-BE49-F238E27FC236}">
              <a16:creationId xmlns:a16="http://schemas.microsoft.com/office/drawing/2014/main" id="{44B3DEC3-12D8-C14E-B6A5-C916B2C94DD3}"/>
            </a:ext>
          </a:extLst>
        </xdr:cNvPr>
        <xdr:cNvSpPr>
          <a:spLocks noChangeAspect="1" noChangeArrowheads="1"/>
        </xdr:cNvSpPr>
      </xdr:nvSpPr>
      <xdr:spPr bwMode="auto">
        <a:xfrm>
          <a:off x="10350500" y="203200"/>
          <a:ext cx="2921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59</xdr:row>
      <xdr:rowOff>0</xdr:rowOff>
    </xdr:from>
    <xdr:ext cx="292100" cy="152400"/>
    <xdr:sp macro="" textlink="">
      <xdr:nvSpPr>
        <xdr:cNvPr id="20" name="AutoShape 12" descr="United Kingdom">
          <a:hlinkClick xmlns:r="http://schemas.openxmlformats.org/officeDocument/2006/relationships" r:id="rId8" tooltip="United Kingdom"/>
          <a:extLst>
            <a:ext uri="{FF2B5EF4-FFF2-40B4-BE49-F238E27FC236}">
              <a16:creationId xmlns:a16="http://schemas.microsoft.com/office/drawing/2014/main" id="{DA349362-904F-4943-AF3D-453A9838D1E5}"/>
            </a:ext>
          </a:extLst>
        </xdr:cNvPr>
        <xdr:cNvSpPr>
          <a:spLocks noChangeAspect="1" noChangeArrowheads="1"/>
        </xdr:cNvSpPr>
      </xdr:nvSpPr>
      <xdr:spPr bwMode="auto">
        <a:xfrm>
          <a:off x="11176000" y="203200"/>
          <a:ext cx="2921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13</xdr:col>
      <xdr:colOff>0</xdr:colOff>
      <xdr:row>59</xdr:row>
      <xdr:rowOff>0</xdr:rowOff>
    </xdr:from>
    <xdr:ext cx="292100" cy="190500"/>
    <xdr:sp macro="" textlink="">
      <xdr:nvSpPr>
        <xdr:cNvPr id="21" name="AutoShape 13" descr="Belgium">
          <a:hlinkClick xmlns:r="http://schemas.openxmlformats.org/officeDocument/2006/relationships" r:id="rId9" tooltip="Belgium"/>
          <a:extLst>
            <a:ext uri="{FF2B5EF4-FFF2-40B4-BE49-F238E27FC236}">
              <a16:creationId xmlns:a16="http://schemas.microsoft.com/office/drawing/2014/main" id="{19752049-2029-B144-B3D4-E11BD6036316}"/>
            </a:ext>
          </a:extLst>
        </xdr:cNvPr>
        <xdr:cNvSpPr>
          <a:spLocks noChangeAspect="1" noChangeArrowheads="1"/>
        </xdr:cNvSpPr>
      </xdr:nvSpPr>
      <xdr:spPr bwMode="auto">
        <a:xfrm>
          <a:off x="12001500" y="203200"/>
          <a:ext cx="2921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14</xdr:col>
      <xdr:colOff>0</xdr:colOff>
      <xdr:row>59</xdr:row>
      <xdr:rowOff>0</xdr:rowOff>
    </xdr:from>
    <xdr:ext cx="292100" cy="152400"/>
    <xdr:sp macro="" textlink="">
      <xdr:nvSpPr>
        <xdr:cNvPr id="22" name="AutoShape 14" descr="Hungary">
          <a:hlinkClick xmlns:r="http://schemas.openxmlformats.org/officeDocument/2006/relationships" r:id="rId10" tooltip="Hungary"/>
          <a:extLst>
            <a:ext uri="{FF2B5EF4-FFF2-40B4-BE49-F238E27FC236}">
              <a16:creationId xmlns:a16="http://schemas.microsoft.com/office/drawing/2014/main" id="{24C73FF8-C9A6-4B44-B7FB-29404B4604B1}"/>
            </a:ext>
          </a:extLst>
        </xdr:cNvPr>
        <xdr:cNvSpPr>
          <a:spLocks noChangeAspect="1" noChangeArrowheads="1"/>
        </xdr:cNvSpPr>
      </xdr:nvSpPr>
      <xdr:spPr bwMode="auto">
        <a:xfrm>
          <a:off x="12827000" y="203200"/>
          <a:ext cx="2921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59</xdr:row>
      <xdr:rowOff>0</xdr:rowOff>
    </xdr:from>
    <xdr:ext cx="292100" cy="190500"/>
    <xdr:sp macro="" textlink="">
      <xdr:nvSpPr>
        <xdr:cNvPr id="23" name="AutoShape 15" descr="Netherlands">
          <a:hlinkClick xmlns:r="http://schemas.openxmlformats.org/officeDocument/2006/relationships" r:id="rId11" tooltip="Netherlands"/>
          <a:extLst>
            <a:ext uri="{FF2B5EF4-FFF2-40B4-BE49-F238E27FC236}">
              <a16:creationId xmlns:a16="http://schemas.microsoft.com/office/drawing/2014/main" id="{4DAC99BE-D215-084B-A69D-3E1659E9CD76}"/>
            </a:ext>
          </a:extLst>
        </xdr:cNvPr>
        <xdr:cNvSpPr>
          <a:spLocks noChangeAspect="1" noChangeArrowheads="1"/>
        </xdr:cNvSpPr>
      </xdr:nvSpPr>
      <xdr:spPr bwMode="auto">
        <a:xfrm>
          <a:off x="13652500" y="203200"/>
          <a:ext cx="2921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16</xdr:col>
      <xdr:colOff>0</xdr:colOff>
      <xdr:row>59</xdr:row>
      <xdr:rowOff>0</xdr:rowOff>
    </xdr:from>
    <xdr:ext cx="292100" cy="190500"/>
    <xdr:sp macro="" textlink="">
      <xdr:nvSpPr>
        <xdr:cNvPr id="24" name="AutoShape 16" descr="Italy">
          <a:hlinkClick xmlns:r="http://schemas.openxmlformats.org/officeDocument/2006/relationships" r:id="rId3" tooltip="Italy"/>
          <a:extLst>
            <a:ext uri="{FF2B5EF4-FFF2-40B4-BE49-F238E27FC236}">
              <a16:creationId xmlns:a16="http://schemas.microsoft.com/office/drawing/2014/main" id="{3ED9C749-A136-A14C-A4CD-840FD7A92970}"/>
            </a:ext>
          </a:extLst>
        </xdr:cNvPr>
        <xdr:cNvSpPr>
          <a:spLocks noChangeAspect="1" noChangeArrowheads="1"/>
        </xdr:cNvSpPr>
      </xdr:nvSpPr>
      <xdr:spPr bwMode="auto">
        <a:xfrm>
          <a:off x="14478000" y="203200"/>
          <a:ext cx="2921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17</xdr:col>
      <xdr:colOff>0</xdr:colOff>
      <xdr:row>59</xdr:row>
      <xdr:rowOff>0</xdr:rowOff>
    </xdr:from>
    <xdr:ext cx="292100" cy="152400"/>
    <xdr:sp macro="" textlink="">
      <xdr:nvSpPr>
        <xdr:cNvPr id="25" name="AutoShape 17" descr="Azerbaijan">
          <a:hlinkClick xmlns:r="http://schemas.openxmlformats.org/officeDocument/2006/relationships" r:id="rId12" tooltip="Azerbaijan"/>
          <a:extLst>
            <a:ext uri="{FF2B5EF4-FFF2-40B4-BE49-F238E27FC236}">
              <a16:creationId xmlns:a16="http://schemas.microsoft.com/office/drawing/2014/main" id="{4F43D97C-20AE-2147-AAB2-3C2C3AE7CDAE}"/>
            </a:ext>
          </a:extLst>
        </xdr:cNvPr>
        <xdr:cNvSpPr>
          <a:spLocks noChangeAspect="1" noChangeArrowheads="1"/>
        </xdr:cNvSpPr>
      </xdr:nvSpPr>
      <xdr:spPr bwMode="auto">
        <a:xfrm>
          <a:off x="15303500" y="203200"/>
          <a:ext cx="2921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18</xdr:col>
      <xdr:colOff>0</xdr:colOff>
      <xdr:row>59</xdr:row>
      <xdr:rowOff>0</xdr:rowOff>
    </xdr:from>
    <xdr:ext cx="292100" cy="190500"/>
    <xdr:sp macro="" textlink="">
      <xdr:nvSpPr>
        <xdr:cNvPr id="26" name="AutoShape 18" descr="Singapore">
          <a:hlinkClick xmlns:r="http://schemas.openxmlformats.org/officeDocument/2006/relationships" r:id="rId13" tooltip="Singapore"/>
          <a:extLst>
            <a:ext uri="{FF2B5EF4-FFF2-40B4-BE49-F238E27FC236}">
              <a16:creationId xmlns:a16="http://schemas.microsoft.com/office/drawing/2014/main" id="{0F4C52B3-D672-954C-BC69-C4C64E64D478}"/>
            </a:ext>
          </a:extLst>
        </xdr:cNvPr>
        <xdr:cNvSpPr>
          <a:spLocks noChangeAspect="1" noChangeArrowheads="1"/>
        </xdr:cNvSpPr>
      </xdr:nvSpPr>
      <xdr:spPr bwMode="auto">
        <a:xfrm>
          <a:off x="16129000" y="203200"/>
          <a:ext cx="2921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19</xdr:col>
      <xdr:colOff>0</xdr:colOff>
      <xdr:row>59</xdr:row>
      <xdr:rowOff>0</xdr:rowOff>
    </xdr:from>
    <xdr:ext cx="292100" cy="152400"/>
    <xdr:sp macro="" textlink="">
      <xdr:nvSpPr>
        <xdr:cNvPr id="27" name="AutoShape 19" descr="United States">
          <a:hlinkClick xmlns:r="http://schemas.openxmlformats.org/officeDocument/2006/relationships" r:id="rId2" tooltip="United States"/>
          <a:extLst>
            <a:ext uri="{FF2B5EF4-FFF2-40B4-BE49-F238E27FC236}">
              <a16:creationId xmlns:a16="http://schemas.microsoft.com/office/drawing/2014/main" id="{C8D59802-2CC3-1446-B76E-F21AB19E040A}"/>
            </a:ext>
          </a:extLst>
        </xdr:cNvPr>
        <xdr:cNvSpPr>
          <a:spLocks noChangeAspect="1" noChangeArrowheads="1"/>
        </xdr:cNvSpPr>
      </xdr:nvSpPr>
      <xdr:spPr bwMode="auto">
        <a:xfrm>
          <a:off x="16954500" y="203200"/>
          <a:ext cx="2921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20</xdr:col>
      <xdr:colOff>0</xdr:colOff>
      <xdr:row>59</xdr:row>
      <xdr:rowOff>0</xdr:rowOff>
    </xdr:from>
    <xdr:ext cx="292100" cy="165100"/>
    <xdr:sp macro="" textlink="">
      <xdr:nvSpPr>
        <xdr:cNvPr id="28" name="AutoShape 20" descr="Mexico">
          <a:hlinkClick xmlns:r="http://schemas.openxmlformats.org/officeDocument/2006/relationships" r:id="rId14" tooltip="Mexico"/>
          <a:extLst>
            <a:ext uri="{FF2B5EF4-FFF2-40B4-BE49-F238E27FC236}">
              <a16:creationId xmlns:a16="http://schemas.microsoft.com/office/drawing/2014/main" id="{0ED361EE-C02E-364E-A000-202E31FE59F7}"/>
            </a:ext>
          </a:extLst>
        </xdr:cNvPr>
        <xdr:cNvSpPr>
          <a:spLocks noChangeAspect="1" noChangeArrowheads="1"/>
        </xdr:cNvSpPr>
      </xdr:nvSpPr>
      <xdr:spPr bwMode="auto">
        <a:xfrm>
          <a:off x="17818100" y="203200"/>
          <a:ext cx="292100" cy="165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21</xdr:col>
      <xdr:colOff>0</xdr:colOff>
      <xdr:row>59</xdr:row>
      <xdr:rowOff>0</xdr:rowOff>
    </xdr:from>
    <xdr:ext cx="279400" cy="190500"/>
    <xdr:sp macro="" textlink="">
      <xdr:nvSpPr>
        <xdr:cNvPr id="29" name="AutoShape 21" descr="Brazil">
          <a:hlinkClick xmlns:r="http://schemas.openxmlformats.org/officeDocument/2006/relationships" r:id="rId15" tooltip="Brazil"/>
          <a:extLst>
            <a:ext uri="{FF2B5EF4-FFF2-40B4-BE49-F238E27FC236}">
              <a16:creationId xmlns:a16="http://schemas.microsoft.com/office/drawing/2014/main" id="{E5859F97-BDD5-3E44-B55D-85BACDC1C628}"/>
            </a:ext>
          </a:extLst>
        </xdr:cNvPr>
        <xdr:cNvSpPr>
          <a:spLocks noChangeAspect="1" noChangeArrowheads="1"/>
        </xdr:cNvSpPr>
      </xdr:nvSpPr>
      <xdr:spPr bwMode="auto">
        <a:xfrm>
          <a:off x="18643600" y="203200"/>
          <a:ext cx="2794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22</xdr:col>
      <xdr:colOff>0</xdr:colOff>
      <xdr:row>59</xdr:row>
      <xdr:rowOff>0</xdr:rowOff>
    </xdr:from>
    <xdr:ext cx="292100" cy="152400"/>
    <xdr:sp macro="" textlink="">
      <xdr:nvSpPr>
        <xdr:cNvPr id="30" name="AutoShape 22" descr="United States">
          <a:hlinkClick xmlns:r="http://schemas.openxmlformats.org/officeDocument/2006/relationships" r:id="rId2" tooltip="United States"/>
          <a:extLst>
            <a:ext uri="{FF2B5EF4-FFF2-40B4-BE49-F238E27FC236}">
              <a16:creationId xmlns:a16="http://schemas.microsoft.com/office/drawing/2014/main" id="{5D991F49-8ADA-B74B-8906-877F0EAD2DCD}"/>
            </a:ext>
          </a:extLst>
        </xdr:cNvPr>
        <xdr:cNvSpPr>
          <a:spLocks noChangeAspect="1" noChangeArrowheads="1"/>
        </xdr:cNvSpPr>
      </xdr:nvSpPr>
      <xdr:spPr bwMode="auto">
        <a:xfrm>
          <a:off x="19469100" y="203200"/>
          <a:ext cx="2921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23</xdr:col>
      <xdr:colOff>0</xdr:colOff>
      <xdr:row>59</xdr:row>
      <xdr:rowOff>0</xdr:rowOff>
    </xdr:from>
    <xdr:ext cx="292100" cy="114300"/>
    <xdr:sp macro="" textlink="">
      <xdr:nvSpPr>
        <xdr:cNvPr id="31" name="AutoShape 23" descr="Qatar">
          <a:hlinkClick xmlns:r="http://schemas.openxmlformats.org/officeDocument/2006/relationships" r:id="rId16" tooltip="Qatar"/>
          <a:extLst>
            <a:ext uri="{FF2B5EF4-FFF2-40B4-BE49-F238E27FC236}">
              <a16:creationId xmlns:a16="http://schemas.microsoft.com/office/drawing/2014/main" id="{DF681D85-0698-4A48-8450-2836C5D4ABAD}"/>
            </a:ext>
          </a:extLst>
        </xdr:cNvPr>
        <xdr:cNvSpPr>
          <a:spLocks noChangeAspect="1" noChangeArrowheads="1"/>
        </xdr:cNvSpPr>
      </xdr:nvSpPr>
      <xdr:spPr bwMode="auto">
        <a:xfrm>
          <a:off x="20294600" y="203200"/>
          <a:ext cx="292100" cy="1143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24</xdr:col>
      <xdr:colOff>0</xdr:colOff>
      <xdr:row>59</xdr:row>
      <xdr:rowOff>0</xdr:rowOff>
    </xdr:from>
    <xdr:ext cx="292100" cy="152400"/>
    <xdr:sp macro="" textlink="">
      <xdr:nvSpPr>
        <xdr:cNvPr id="32" name="AutoShape 24" descr="United Arab Emirates">
          <a:hlinkClick xmlns:r="http://schemas.openxmlformats.org/officeDocument/2006/relationships" r:id="rId17" tooltip="United Arab Emirates"/>
          <a:extLst>
            <a:ext uri="{FF2B5EF4-FFF2-40B4-BE49-F238E27FC236}">
              <a16:creationId xmlns:a16="http://schemas.microsoft.com/office/drawing/2014/main" id="{20D3299E-2961-2847-A14C-19D3AB15205E}"/>
            </a:ext>
          </a:extLst>
        </xdr:cNvPr>
        <xdr:cNvSpPr>
          <a:spLocks noChangeAspect="1" noChangeArrowheads="1"/>
        </xdr:cNvSpPr>
      </xdr:nvSpPr>
      <xdr:spPr bwMode="auto">
        <a:xfrm>
          <a:off x="21120100" y="203200"/>
          <a:ext cx="2921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60</xdr:row>
      <xdr:rowOff>0</xdr:rowOff>
    </xdr:from>
    <xdr:ext cx="292100" cy="152400"/>
    <xdr:sp macro="" textlink="">
      <xdr:nvSpPr>
        <xdr:cNvPr id="33" name="AutoShape 25" descr="United Kingdom">
          <a:hlinkClick xmlns:r="http://schemas.openxmlformats.org/officeDocument/2006/relationships" r:id="rId8" tooltip="United Kingdom"/>
          <a:extLst>
            <a:ext uri="{FF2B5EF4-FFF2-40B4-BE49-F238E27FC236}">
              <a16:creationId xmlns:a16="http://schemas.microsoft.com/office/drawing/2014/main" id="{FADAE673-A203-AA41-8D23-9C68EFD3D67B}"/>
            </a:ext>
          </a:extLst>
        </xdr:cNvPr>
        <xdr:cNvSpPr>
          <a:spLocks noChangeAspect="1" noChangeArrowheads="1"/>
        </xdr:cNvSpPr>
      </xdr:nvSpPr>
      <xdr:spPr bwMode="auto">
        <a:xfrm>
          <a:off x="0" y="406400"/>
          <a:ext cx="2921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61</xdr:row>
      <xdr:rowOff>0</xdr:rowOff>
    </xdr:from>
    <xdr:ext cx="292100" cy="190500"/>
    <xdr:sp macro="" textlink="">
      <xdr:nvSpPr>
        <xdr:cNvPr id="34" name="AutoShape 26" descr="Netherlands">
          <a:hlinkClick xmlns:r="http://schemas.openxmlformats.org/officeDocument/2006/relationships" r:id="rId11" tooltip="Netherlands"/>
          <a:extLst>
            <a:ext uri="{FF2B5EF4-FFF2-40B4-BE49-F238E27FC236}">
              <a16:creationId xmlns:a16="http://schemas.microsoft.com/office/drawing/2014/main" id="{B62DE8F0-B0B5-C24F-973A-BCF0C2A9320B}"/>
            </a:ext>
          </a:extLst>
        </xdr:cNvPr>
        <xdr:cNvSpPr>
          <a:spLocks noChangeAspect="1" noChangeArrowheads="1"/>
        </xdr:cNvSpPr>
      </xdr:nvSpPr>
      <xdr:spPr bwMode="auto">
        <a:xfrm>
          <a:off x="0" y="635000"/>
          <a:ext cx="2921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62</xdr:row>
      <xdr:rowOff>0</xdr:rowOff>
    </xdr:from>
    <xdr:ext cx="292100" cy="152400"/>
    <xdr:pic>
      <xdr:nvPicPr>
        <xdr:cNvPr id="35" name="Picture 34" descr="Australia">
          <a:hlinkClick xmlns:r="http://schemas.openxmlformats.org/officeDocument/2006/relationships" r:id="rId18" tooltip="Australia"/>
          <a:extLst>
            <a:ext uri="{FF2B5EF4-FFF2-40B4-BE49-F238E27FC236}">
              <a16:creationId xmlns:a16="http://schemas.microsoft.com/office/drawing/2014/main" id="{C6C762BC-A08F-E14F-A14F-85F43A100B57}"/>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0" y="863600"/>
          <a:ext cx="292100" cy="1524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63</xdr:row>
      <xdr:rowOff>0</xdr:rowOff>
    </xdr:from>
    <xdr:ext cx="292100" cy="152400"/>
    <xdr:sp macro="" textlink="">
      <xdr:nvSpPr>
        <xdr:cNvPr id="36" name="AutoShape 28" descr="United Kingdom">
          <a:hlinkClick xmlns:r="http://schemas.openxmlformats.org/officeDocument/2006/relationships" r:id="rId8" tooltip="United Kingdom"/>
          <a:extLst>
            <a:ext uri="{FF2B5EF4-FFF2-40B4-BE49-F238E27FC236}">
              <a16:creationId xmlns:a16="http://schemas.microsoft.com/office/drawing/2014/main" id="{E898B85A-2A2F-9543-9982-9CE80D875739}"/>
            </a:ext>
          </a:extLst>
        </xdr:cNvPr>
        <xdr:cNvSpPr>
          <a:spLocks noChangeAspect="1" noChangeArrowheads="1"/>
        </xdr:cNvSpPr>
      </xdr:nvSpPr>
      <xdr:spPr bwMode="auto">
        <a:xfrm>
          <a:off x="0" y="1092200"/>
          <a:ext cx="2921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64</xdr:row>
      <xdr:rowOff>0</xdr:rowOff>
    </xdr:from>
    <xdr:ext cx="241300" cy="190500"/>
    <xdr:sp macro="" textlink="">
      <xdr:nvSpPr>
        <xdr:cNvPr id="37" name="AutoShape 29" descr="Monaco">
          <a:hlinkClick xmlns:r="http://schemas.openxmlformats.org/officeDocument/2006/relationships" r:id="rId4" tooltip="Monaco"/>
          <a:extLst>
            <a:ext uri="{FF2B5EF4-FFF2-40B4-BE49-F238E27FC236}">
              <a16:creationId xmlns:a16="http://schemas.microsoft.com/office/drawing/2014/main" id="{EB900D4D-DED9-8A41-B8DB-89182C8D4AA3}"/>
            </a:ext>
          </a:extLst>
        </xdr:cNvPr>
        <xdr:cNvSpPr>
          <a:spLocks noChangeAspect="1" noChangeArrowheads="1"/>
        </xdr:cNvSpPr>
      </xdr:nvSpPr>
      <xdr:spPr bwMode="auto">
        <a:xfrm>
          <a:off x="0" y="1320800"/>
          <a:ext cx="2413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65</xdr:row>
      <xdr:rowOff>0</xdr:rowOff>
    </xdr:from>
    <xdr:ext cx="292100" cy="152400"/>
    <xdr:sp macro="" textlink="">
      <xdr:nvSpPr>
        <xdr:cNvPr id="38" name="AutoShape 30" descr="United Kingdom">
          <a:hlinkClick xmlns:r="http://schemas.openxmlformats.org/officeDocument/2006/relationships" r:id="rId8" tooltip="United Kingdom"/>
          <a:extLst>
            <a:ext uri="{FF2B5EF4-FFF2-40B4-BE49-F238E27FC236}">
              <a16:creationId xmlns:a16="http://schemas.microsoft.com/office/drawing/2014/main" id="{EBEAED70-10AD-7143-AF87-0EEC66F73DEF}"/>
            </a:ext>
          </a:extLst>
        </xdr:cNvPr>
        <xdr:cNvSpPr>
          <a:spLocks noChangeAspect="1" noChangeArrowheads="1"/>
        </xdr:cNvSpPr>
      </xdr:nvSpPr>
      <xdr:spPr bwMode="auto">
        <a:xfrm>
          <a:off x="0" y="1549400"/>
          <a:ext cx="2921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66</xdr:row>
      <xdr:rowOff>0</xdr:rowOff>
    </xdr:from>
    <xdr:ext cx="292100" cy="190500"/>
    <xdr:sp macro="" textlink="">
      <xdr:nvSpPr>
        <xdr:cNvPr id="39" name="AutoShape 31" descr="Italy">
          <a:hlinkClick xmlns:r="http://schemas.openxmlformats.org/officeDocument/2006/relationships" r:id="rId3" tooltip="Italy"/>
          <a:extLst>
            <a:ext uri="{FF2B5EF4-FFF2-40B4-BE49-F238E27FC236}">
              <a16:creationId xmlns:a16="http://schemas.microsoft.com/office/drawing/2014/main" id="{59CD32C6-4366-C041-A29F-9D2BC3BAC8AE}"/>
            </a:ext>
          </a:extLst>
        </xdr:cNvPr>
        <xdr:cNvSpPr>
          <a:spLocks noChangeAspect="1" noChangeArrowheads="1"/>
        </xdr:cNvSpPr>
      </xdr:nvSpPr>
      <xdr:spPr bwMode="auto">
        <a:xfrm>
          <a:off x="0" y="1778000"/>
          <a:ext cx="2921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67</xdr:row>
      <xdr:rowOff>0</xdr:rowOff>
    </xdr:from>
    <xdr:ext cx="292100" cy="190500"/>
    <xdr:sp macro="" textlink="">
      <xdr:nvSpPr>
        <xdr:cNvPr id="40" name="AutoShape 32" descr="Thailand">
          <a:hlinkClick xmlns:r="http://schemas.openxmlformats.org/officeDocument/2006/relationships" r:id="rId20" tooltip="Thailand"/>
          <a:extLst>
            <a:ext uri="{FF2B5EF4-FFF2-40B4-BE49-F238E27FC236}">
              <a16:creationId xmlns:a16="http://schemas.microsoft.com/office/drawing/2014/main" id="{AAB632C6-9B58-9243-89EC-64055EEF30DC}"/>
            </a:ext>
          </a:extLst>
        </xdr:cNvPr>
        <xdr:cNvSpPr>
          <a:spLocks noChangeAspect="1" noChangeArrowheads="1"/>
        </xdr:cNvSpPr>
      </xdr:nvSpPr>
      <xdr:spPr bwMode="auto">
        <a:xfrm>
          <a:off x="0" y="2006600"/>
          <a:ext cx="2921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68</xdr:row>
      <xdr:rowOff>0</xdr:rowOff>
    </xdr:from>
    <xdr:ext cx="292100" cy="190500"/>
    <xdr:sp macro="" textlink="">
      <xdr:nvSpPr>
        <xdr:cNvPr id="41" name="AutoShape 33" descr="Spain">
          <a:hlinkClick xmlns:r="http://schemas.openxmlformats.org/officeDocument/2006/relationships" r:id="rId5" tooltip="Spain"/>
          <a:extLst>
            <a:ext uri="{FF2B5EF4-FFF2-40B4-BE49-F238E27FC236}">
              <a16:creationId xmlns:a16="http://schemas.microsoft.com/office/drawing/2014/main" id="{EC3F9DEA-97EA-B246-8DB6-4EEB81EB37D3}"/>
            </a:ext>
          </a:extLst>
        </xdr:cNvPr>
        <xdr:cNvSpPr>
          <a:spLocks noChangeAspect="1" noChangeArrowheads="1"/>
        </xdr:cNvSpPr>
      </xdr:nvSpPr>
      <xdr:spPr bwMode="auto">
        <a:xfrm>
          <a:off x="0" y="2235200"/>
          <a:ext cx="2921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69</xdr:row>
      <xdr:rowOff>0</xdr:rowOff>
    </xdr:from>
    <xdr:ext cx="292100" cy="190500"/>
    <xdr:sp macro="" textlink="">
      <xdr:nvSpPr>
        <xdr:cNvPr id="42" name="AutoShape 34" descr="Spain">
          <a:hlinkClick xmlns:r="http://schemas.openxmlformats.org/officeDocument/2006/relationships" r:id="rId5" tooltip="Spain"/>
          <a:extLst>
            <a:ext uri="{FF2B5EF4-FFF2-40B4-BE49-F238E27FC236}">
              <a16:creationId xmlns:a16="http://schemas.microsoft.com/office/drawing/2014/main" id="{0EAE4700-36C4-3140-BB53-827FDE44A807}"/>
            </a:ext>
          </a:extLst>
        </xdr:cNvPr>
        <xdr:cNvSpPr>
          <a:spLocks noChangeAspect="1" noChangeArrowheads="1"/>
        </xdr:cNvSpPr>
      </xdr:nvSpPr>
      <xdr:spPr bwMode="auto">
        <a:xfrm>
          <a:off x="0" y="2463800"/>
          <a:ext cx="2921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70</xdr:row>
      <xdr:rowOff>0</xdr:rowOff>
    </xdr:from>
    <xdr:ext cx="292100" cy="177800"/>
    <xdr:sp macro="" textlink="">
      <xdr:nvSpPr>
        <xdr:cNvPr id="43" name="AutoShape 35" descr="Germany">
          <a:hlinkClick xmlns:r="http://schemas.openxmlformats.org/officeDocument/2006/relationships" r:id="rId21" tooltip="Germany"/>
          <a:extLst>
            <a:ext uri="{FF2B5EF4-FFF2-40B4-BE49-F238E27FC236}">
              <a16:creationId xmlns:a16="http://schemas.microsoft.com/office/drawing/2014/main" id="{184C8573-C808-C74A-A45E-EE565391FD16}"/>
            </a:ext>
          </a:extLst>
        </xdr:cNvPr>
        <xdr:cNvSpPr>
          <a:spLocks noChangeAspect="1" noChangeArrowheads="1"/>
        </xdr:cNvSpPr>
      </xdr:nvSpPr>
      <xdr:spPr bwMode="auto">
        <a:xfrm>
          <a:off x="0" y="2692400"/>
          <a:ext cx="292100" cy="177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71</xdr:row>
      <xdr:rowOff>0</xdr:rowOff>
    </xdr:from>
    <xdr:ext cx="292100" cy="190500"/>
    <xdr:sp macro="" textlink="">
      <xdr:nvSpPr>
        <xdr:cNvPr id="44" name="AutoShape 36" descr="France">
          <a:hlinkClick xmlns:r="http://schemas.openxmlformats.org/officeDocument/2006/relationships" r:id="rId22" tooltip="France"/>
          <a:extLst>
            <a:ext uri="{FF2B5EF4-FFF2-40B4-BE49-F238E27FC236}">
              <a16:creationId xmlns:a16="http://schemas.microsoft.com/office/drawing/2014/main" id="{22C5F911-DAE4-7542-AF92-F8EF5F104C7A}"/>
            </a:ext>
          </a:extLst>
        </xdr:cNvPr>
        <xdr:cNvSpPr>
          <a:spLocks noChangeAspect="1" noChangeArrowheads="1"/>
        </xdr:cNvSpPr>
      </xdr:nvSpPr>
      <xdr:spPr bwMode="auto">
        <a:xfrm>
          <a:off x="0" y="2921000"/>
          <a:ext cx="2921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72</xdr:row>
      <xdr:rowOff>0</xdr:rowOff>
    </xdr:from>
    <xdr:ext cx="292100" cy="152400"/>
    <xdr:sp macro="" textlink="">
      <xdr:nvSpPr>
        <xdr:cNvPr id="45" name="AutoShape 37" descr="United Kingdom">
          <a:hlinkClick xmlns:r="http://schemas.openxmlformats.org/officeDocument/2006/relationships" r:id="rId8" tooltip="United Kingdom"/>
          <a:extLst>
            <a:ext uri="{FF2B5EF4-FFF2-40B4-BE49-F238E27FC236}">
              <a16:creationId xmlns:a16="http://schemas.microsoft.com/office/drawing/2014/main" id="{C109D631-0953-E948-88C2-077EE2242A7A}"/>
            </a:ext>
          </a:extLst>
        </xdr:cNvPr>
        <xdr:cNvSpPr>
          <a:spLocks noChangeAspect="1" noChangeArrowheads="1"/>
        </xdr:cNvSpPr>
      </xdr:nvSpPr>
      <xdr:spPr bwMode="auto">
        <a:xfrm>
          <a:off x="0" y="3149600"/>
          <a:ext cx="2921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73</xdr:row>
      <xdr:rowOff>0</xdr:rowOff>
    </xdr:from>
    <xdr:ext cx="292100" cy="152400"/>
    <xdr:sp macro="" textlink="">
      <xdr:nvSpPr>
        <xdr:cNvPr id="46" name="AutoShape 38" descr="New Zealand">
          <a:hlinkClick xmlns:r="http://schemas.openxmlformats.org/officeDocument/2006/relationships" r:id="rId23" tooltip="New Zealand"/>
          <a:extLst>
            <a:ext uri="{FF2B5EF4-FFF2-40B4-BE49-F238E27FC236}">
              <a16:creationId xmlns:a16="http://schemas.microsoft.com/office/drawing/2014/main" id="{C24C9E14-F228-624C-BF60-735DD73498AD}"/>
            </a:ext>
          </a:extLst>
        </xdr:cNvPr>
        <xdr:cNvSpPr>
          <a:spLocks noChangeAspect="1" noChangeArrowheads="1"/>
        </xdr:cNvSpPr>
      </xdr:nvSpPr>
      <xdr:spPr bwMode="auto">
        <a:xfrm>
          <a:off x="0" y="3378200"/>
          <a:ext cx="2921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74</xdr:row>
      <xdr:rowOff>0</xdr:rowOff>
    </xdr:from>
    <xdr:ext cx="292100" cy="190500"/>
    <xdr:sp macro="" textlink="">
      <xdr:nvSpPr>
        <xdr:cNvPr id="47" name="AutoShape 39" descr="France">
          <a:hlinkClick xmlns:r="http://schemas.openxmlformats.org/officeDocument/2006/relationships" r:id="rId22" tooltip="France"/>
          <a:extLst>
            <a:ext uri="{FF2B5EF4-FFF2-40B4-BE49-F238E27FC236}">
              <a16:creationId xmlns:a16="http://schemas.microsoft.com/office/drawing/2014/main" id="{8E5EC0D9-238D-4540-882F-07D8ABF65B61}"/>
            </a:ext>
          </a:extLst>
        </xdr:cNvPr>
        <xdr:cNvSpPr>
          <a:spLocks noChangeAspect="1" noChangeArrowheads="1"/>
        </xdr:cNvSpPr>
      </xdr:nvSpPr>
      <xdr:spPr bwMode="auto">
        <a:xfrm>
          <a:off x="0" y="3606800"/>
          <a:ext cx="2921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75</xdr:row>
      <xdr:rowOff>0</xdr:rowOff>
    </xdr:from>
    <xdr:ext cx="292100" cy="152400"/>
    <xdr:sp macro="" textlink="">
      <xdr:nvSpPr>
        <xdr:cNvPr id="48" name="AutoShape 40" descr="Canada">
          <a:hlinkClick xmlns:r="http://schemas.openxmlformats.org/officeDocument/2006/relationships" r:id="rId6" tooltip="Canada"/>
          <a:extLst>
            <a:ext uri="{FF2B5EF4-FFF2-40B4-BE49-F238E27FC236}">
              <a16:creationId xmlns:a16="http://schemas.microsoft.com/office/drawing/2014/main" id="{149616C5-1893-2141-A6A5-F9B04BF27956}"/>
            </a:ext>
          </a:extLst>
        </xdr:cNvPr>
        <xdr:cNvSpPr>
          <a:spLocks noChangeAspect="1" noChangeArrowheads="1"/>
        </xdr:cNvSpPr>
      </xdr:nvSpPr>
      <xdr:spPr bwMode="auto">
        <a:xfrm>
          <a:off x="0" y="3835400"/>
          <a:ext cx="2921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76</xdr:row>
      <xdr:rowOff>0</xdr:rowOff>
    </xdr:from>
    <xdr:ext cx="292100" cy="190500"/>
    <xdr:pic>
      <xdr:nvPicPr>
        <xdr:cNvPr id="49" name="Picture 48" descr="Japan">
          <a:hlinkClick xmlns:r="http://schemas.openxmlformats.org/officeDocument/2006/relationships" r:id="rId24" tooltip="Japan"/>
          <a:extLst>
            <a:ext uri="{FF2B5EF4-FFF2-40B4-BE49-F238E27FC236}">
              <a16:creationId xmlns:a16="http://schemas.microsoft.com/office/drawing/2014/main" id="{1267EA36-073F-864F-A165-5C621072895E}"/>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0" y="4064000"/>
          <a:ext cx="292100" cy="1905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77</xdr:row>
      <xdr:rowOff>0</xdr:rowOff>
    </xdr:from>
    <xdr:ext cx="292100" cy="190500"/>
    <xdr:sp macro="" textlink="">
      <xdr:nvSpPr>
        <xdr:cNvPr id="50" name="AutoShape 42" descr="France">
          <a:hlinkClick xmlns:r="http://schemas.openxmlformats.org/officeDocument/2006/relationships" r:id="rId22" tooltip="France"/>
          <a:extLst>
            <a:ext uri="{FF2B5EF4-FFF2-40B4-BE49-F238E27FC236}">
              <a16:creationId xmlns:a16="http://schemas.microsoft.com/office/drawing/2014/main" id="{B1C98385-6B22-9449-8451-A88B58AD283A}"/>
            </a:ext>
          </a:extLst>
        </xdr:cNvPr>
        <xdr:cNvSpPr>
          <a:spLocks noChangeAspect="1" noChangeArrowheads="1"/>
        </xdr:cNvSpPr>
      </xdr:nvSpPr>
      <xdr:spPr bwMode="auto">
        <a:xfrm>
          <a:off x="0" y="4292600"/>
          <a:ext cx="2921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78</xdr:row>
      <xdr:rowOff>0</xdr:rowOff>
    </xdr:from>
    <xdr:ext cx="279400" cy="190500"/>
    <xdr:sp macro="" textlink="">
      <xdr:nvSpPr>
        <xdr:cNvPr id="51" name="AutoShape 43" descr="Brazil">
          <a:hlinkClick xmlns:r="http://schemas.openxmlformats.org/officeDocument/2006/relationships" r:id="rId15" tooltip="Brazil"/>
          <a:extLst>
            <a:ext uri="{FF2B5EF4-FFF2-40B4-BE49-F238E27FC236}">
              <a16:creationId xmlns:a16="http://schemas.microsoft.com/office/drawing/2014/main" id="{FC14518A-C111-F145-B08C-4B78AFBAA668}"/>
            </a:ext>
          </a:extLst>
        </xdr:cNvPr>
        <xdr:cNvSpPr>
          <a:spLocks noChangeAspect="1" noChangeArrowheads="1"/>
        </xdr:cNvSpPr>
      </xdr:nvSpPr>
      <xdr:spPr bwMode="auto">
        <a:xfrm>
          <a:off x="0" y="4521200"/>
          <a:ext cx="2794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79</xdr:row>
      <xdr:rowOff>0</xdr:rowOff>
    </xdr:from>
    <xdr:ext cx="292100" cy="177800"/>
    <xdr:sp macro="" textlink="">
      <xdr:nvSpPr>
        <xdr:cNvPr id="52" name="AutoShape 44" descr="Argentina">
          <a:hlinkClick xmlns:r="http://schemas.openxmlformats.org/officeDocument/2006/relationships" r:id="rId26" tooltip="Argentina"/>
          <a:extLst>
            <a:ext uri="{FF2B5EF4-FFF2-40B4-BE49-F238E27FC236}">
              <a16:creationId xmlns:a16="http://schemas.microsoft.com/office/drawing/2014/main" id="{DD7C4AAF-C013-D446-9D76-987B8B9DB8B8}"/>
            </a:ext>
          </a:extLst>
        </xdr:cNvPr>
        <xdr:cNvSpPr>
          <a:spLocks noChangeAspect="1" noChangeArrowheads="1"/>
        </xdr:cNvSpPr>
      </xdr:nvSpPr>
      <xdr:spPr bwMode="auto">
        <a:xfrm>
          <a:off x="0" y="4749800"/>
          <a:ext cx="292100" cy="177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80</xdr:row>
      <xdr:rowOff>0</xdr:rowOff>
    </xdr:from>
    <xdr:ext cx="292100" cy="152400"/>
    <xdr:pic>
      <xdr:nvPicPr>
        <xdr:cNvPr id="53" name="Picture 52" descr="Australia">
          <a:hlinkClick xmlns:r="http://schemas.openxmlformats.org/officeDocument/2006/relationships" r:id="rId18" tooltip="Australia"/>
          <a:extLst>
            <a:ext uri="{FF2B5EF4-FFF2-40B4-BE49-F238E27FC236}">
              <a16:creationId xmlns:a16="http://schemas.microsoft.com/office/drawing/2014/main" id="{B829E693-7C1E-A242-904F-C0B147F0CA67}"/>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0" y="4978400"/>
          <a:ext cx="292100" cy="1524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27</xdr:row>
      <xdr:rowOff>0</xdr:rowOff>
    </xdr:from>
    <xdr:ext cx="292100" cy="152400"/>
    <xdr:sp macro="" textlink="">
      <xdr:nvSpPr>
        <xdr:cNvPr id="54" name="AutoShape 25" descr="United Kingdom">
          <a:hlinkClick xmlns:r="http://schemas.openxmlformats.org/officeDocument/2006/relationships" r:id="rId8" tooltip="United Kingdom"/>
          <a:extLst>
            <a:ext uri="{FF2B5EF4-FFF2-40B4-BE49-F238E27FC236}">
              <a16:creationId xmlns:a16="http://schemas.microsoft.com/office/drawing/2014/main" id="{926BF51D-4D59-3A41-A83B-6E57BA485E80}"/>
            </a:ext>
          </a:extLst>
        </xdr:cNvPr>
        <xdr:cNvSpPr>
          <a:spLocks noChangeAspect="1" noChangeArrowheads="1"/>
        </xdr:cNvSpPr>
      </xdr:nvSpPr>
      <xdr:spPr bwMode="auto">
        <a:xfrm>
          <a:off x="0" y="812800"/>
          <a:ext cx="2921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28</xdr:row>
      <xdr:rowOff>0</xdr:rowOff>
    </xdr:from>
    <xdr:ext cx="292100" cy="190500"/>
    <xdr:sp macro="" textlink="">
      <xdr:nvSpPr>
        <xdr:cNvPr id="55" name="AutoShape 26" descr="Netherlands">
          <a:hlinkClick xmlns:r="http://schemas.openxmlformats.org/officeDocument/2006/relationships" r:id="rId11" tooltip="Netherlands"/>
          <a:extLst>
            <a:ext uri="{FF2B5EF4-FFF2-40B4-BE49-F238E27FC236}">
              <a16:creationId xmlns:a16="http://schemas.microsoft.com/office/drawing/2014/main" id="{F78F3018-0CEF-DC41-B246-1415C3BD8D4B}"/>
            </a:ext>
          </a:extLst>
        </xdr:cNvPr>
        <xdr:cNvSpPr>
          <a:spLocks noChangeAspect="1" noChangeArrowheads="1"/>
        </xdr:cNvSpPr>
      </xdr:nvSpPr>
      <xdr:spPr bwMode="auto">
        <a:xfrm>
          <a:off x="0" y="1041400"/>
          <a:ext cx="2921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29</xdr:row>
      <xdr:rowOff>0</xdr:rowOff>
    </xdr:from>
    <xdr:ext cx="292100" cy="152400"/>
    <xdr:pic>
      <xdr:nvPicPr>
        <xdr:cNvPr id="56" name="Picture 55" descr="Australia">
          <a:hlinkClick xmlns:r="http://schemas.openxmlformats.org/officeDocument/2006/relationships" r:id="rId18" tooltip="Australia"/>
          <a:extLst>
            <a:ext uri="{FF2B5EF4-FFF2-40B4-BE49-F238E27FC236}">
              <a16:creationId xmlns:a16="http://schemas.microsoft.com/office/drawing/2014/main" id="{F37CE02B-25A5-E842-8CA1-B13C94FDE848}"/>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0" y="1270000"/>
          <a:ext cx="292100" cy="1524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30</xdr:row>
      <xdr:rowOff>0</xdr:rowOff>
    </xdr:from>
    <xdr:ext cx="292100" cy="152400"/>
    <xdr:sp macro="" textlink="">
      <xdr:nvSpPr>
        <xdr:cNvPr id="57" name="AutoShape 28" descr="United Kingdom">
          <a:hlinkClick xmlns:r="http://schemas.openxmlformats.org/officeDocument/2006/relationships" r:id="rId8" tooltip="United Kingdom"/>
          <a:extLst>
            <a:ext uri="{FF2B5EF4-FFF2-40B4-BE49-F238E27FC236}">
              <a16:creationId xmlns:a16="http://schemas.microsoft.com/office/drawing/2014/main" id="{98B0381A-6375-FC42-B880-15ED83C843CB}"/>
            </a:ext>
          </a:extLst>
        </xdr:cNvPr>
        <xdr:cNvSpPr>
          <a:spLocks noChangeAspect="1" noChangeArrowheads="1"/>
        </xdr:cNvSpPr>
      </xdr:nvSpPr>
      <xdr:spPr bwMode="auto">
        <a:xfrm>
          <a:off x="0" y="1498600"/>
          <a:ext cx="2921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31</xdr:row>
      <xdr:rowOff>0</xdr:rowOff>
    </xdr:from>
    <xdr:ext cx="241300" cy="190500"/>
    <xdr:sp macro="" textlink="">
      <xdr:nvSpPr>
        <xdr:cNvPr id="58" name="AutoShape 29" descr="Monaco">
          <a:hlinkClick xmlns:r="http://schemas.openxmlformats.org/officeDocument/2006/relationships" r:id="rId4" tooltip="Monaco"/>
          <a:extLst>
            <a:ext uri="{FF2B5EF4-FFF2-40B4-BE49-F238E27FC236}">
              <a16:creationId xmlns:a16="http://schemas.microsoft.com/office/drawing/2014/main" id="{41E6C934-08A0-E048-BE6B-35C4A4AF9B19}"/>
            </a:ext>
          </a:extLst>
        </xdr:cNvPr>
        <xdr:cNvSpPr>
          <a:spLocks noChangeAspect="1" noChangeArrowheads="1"/>
        </xdr:cNvSpPr>
      </xdr:nvSpPr>
      <xdr:spPr bwMode="auto">
        <a:xfrm>
          <a:off x="0" y="1727200"/>
          <a:ext cx="2413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32</xdr:row>
      <xdr:rowOff>0</xdr:rowOff>
    </xdr:from>
    <xdr:ext cx="292100" cy="152400"/>
    <xdr:sp macro="" textlink="">
      <xdr:nvSpPr>
        <xdr:cNvPr id="59" name="AutoShape 30" descr="United Kingdom">
          <a:hlinkClick xmlns:r="http://schemas.openxmlformats.org/officeDocument/2006/relationships" r:id="rId8" tooltip="United Kingdom"/>
          <a:extLst>
            <a:ext uri="{FF2B5EF4-FFF2-40B4-BE49-F238E27FC236}">
              <a16:creationId xmlns:a16="http://schemas.microsoft.com/office/drawing/2014/main" id="{7365B54D-8FC5-3446-A1CD-A206FEBC9947}"/>
            </a:ext>
          </a:extLst>
        </xdr:cNvPr>
        <xdr:cNvSpPr>
          <a:spLocks noChangeAspect="1" noChangeArrowheads="1"/>
        </xdr:cNvSpPr>
      </xdr:nvSpPr>
      <xdr:spPr bwMode="auto">
        <a:xfrm>
          <a:off x="0" y="1955800"/>
          <a:ext cx="2921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33</xdr:row>
      <xdr:rowOff>0</xdr:rowOff>
    </xdr:from>
    <xdr:ext cx="292100" cy="190500"/>
    <xdr:sp macro="" textlink="">
      <xdr:nvSpPr>
        <xdr:cNvPr id="60" name="AutoShape 31" descr="Italy">
          <a:hlinkClick xmlns:r="http://schemas.openxmlformats.org/officeDocument/2006/relationships" r:id="rId3" tooltip="Italy"/>
          <a:extLst>
            <a:ext uri="{FF2B5EF4-FFF2-40B4-BE49-F238E27FC236}">
              <a16:creationId xmlns:a16="http://schemas.microsoft.com/office/drawing/2014/main" id="{0824F6AB-4CDE-0C4B-BDC4-651E0DD596A6}"/>
            </a:ext>
          </a:extLst>
        </xdr:cNvPr>
        <xdr:cNvSpPr>
          <a:spLocks noChangeAspect="1" noChangeArrowheads="1"/>
        </xdr:cNvSpPr>
      </xdr:nvSpPr>
      <xdr:spPr bwMode="auto">
        <a:xfrm>
          <a:off x="0" y="2184400"/>
          <a:ext cx="2921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34</xdr:row>
      <xdr:rowOff>0</xdr:rowOff>
    </xdr:from>
    <xdr:ext cx="292100" cy="190500"/>
    <xdr:sp macro="" textlink="">
      <xdr:nvSpPr>
        <xdr:cNvPr id="61" name="AutoShape 32" descr="Thailand">
          <a:hlinkClick xmlns:r="http://schemas.openxmlformats.org/officeDocument/2006/relationships" r:id="rId20" tooltip="Thailand"/>
          <a:extLst>
            <a:ext uri="{FF2B5EF4-FFF2-40B4-BE49-F238E27FC236}">
              <a16:creationId xmlns:a16="http://schemas.microsoft.com/office/drawing/2014/main" id="{74DE92CE-BA14-474F-92A1-DCFB37A8F417}"/>
            </a:ext>
          </a:extLst>
        </xdr:cNvPr>
        <xdr:cNvSpPr>
          <a:spLocks noChangeAspect="1" noChangeArrowheads="1"/>
        </xdr:cNvSpPr>
      </xdr:nvSpPr>
      <xdr:spPr bwMode="auto">
        <a:xfrm>
          <a:off x="0" y="2413000"/>
          <a:ext cx="2921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35</xdr:row>
      <xdr:rowOff>0</xdr:rowOff>
    </xdr:from>
    <xdr:ext cx="292100" cy="190500"/>
    <xdr:sp macro="" textlink="">
      <xdr:nvSpPr>
        <xdr:cNvPr id="62" name="AutoShape 33" descr="Spain">
          <a:hlinkClick xmlns:r="http://schemas.openxmlformats.org/officeDocument/2006/relationships" r:id="rId5" tooltip="Spain"/>
          <a:extLst>
            <a:ext uri="{FF2B5EF4-FFF2-40B4-BE49-F238E27FC236}">
              <a16:creationId xmlns:a16="http://schemas.microsoft.com/office/drawing/2014/main" id="{0EA76194-E74C-0D48-B35A-33EE16EE962B}"/>
            </a:ext>
          </a:extLst>
        </xdr:cNvPr>
        <xdr:cNvSpPr>
          <a:spLocks noChangeAspect="1" noChangeArrowheads="1"/>
        </xdr:cNvSpPr>
      </xdr:nvSpPr>
      <xdr:spPr bwMode="auto">
        <a:xfrm>
          <a:off x="0" y="2641600"/>
          <a:ext cx="2921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36</xdr:row>
      <xdr:rowOff>0</xdr:rowOff>
    </xdr:from>
    <xdr:ext cx="292100" cy="190500"/>
    <xdr:sp macro="" textlink="">
      <xdr:nvSpPr>
        <xdr:cNvPr id="63" name="AutoShape 34" descr="Spain">
          <a:hlinkClick xmlns:r="http://schemas.openxmlformats.org/officeDocument/2006/relationships" r:id="rId5" tooltip="Spain"/>
          <a:extLst>
            <a:ext uri="{FF2B5EF4-FFF2-40B4-BE49-F238E27FC236}">
              <a16:creationId xmlns:a16="http://schemas.microsoft.com/office/drawing/2014/main" id="{D451EE9A-3BA6-7A48-B9E4-403BBECCA54C}"/>
            </a:ext>
          </a:extLst>
        </xdr:cNvPr>
        <xdr:cNvSpPr>
          <a:spLocks noChangeAspect="1" noChangeArrowheads="1"/>
        </xdr:cNvSpPr>
      </xdr:nvSpPr>
      <xdr:spPr bwMode="auto">
        <a:xfrm>
          <a:off x="0" y="2870200"/>
          <a:ext cx="2921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37</xdr:row>
      <xdr:rowOff>0</xdr:rowOff>
    </xdr:from>
    <xdr:ext cx="292100" cy="177800"/>
    <xdr:sp macro="" textlink="">
      <xdr:nvSpPr>
        <xdr:cNvPr id="29696" name="AutoShape 35" descr="Germany">
          <a:hlinkClick xmlns:r="http://schemas.openxmlformats.org/officeDocument/2006/relationships" r:id="rId21" tooltip="Germany"/>
          <a:extLst>
            <a:ext uri="{FF2B5EF4-FFF2-40B4-BE49-F238E27FC236}">
              <a16:creationId xmlns:a16="http://schemas.microsoft.com/office/drawing/2014/main" id="{7A62D5F2-3275-A146-AAC4-2062954E289A}"/>
            </a:ext>
          </a:extLst>
        </xdr:cNvPr>
        <xdr:cNvSpPr>
          <a:spLocks noChangeAspect="1" noChangeArrowheads="1"/>
        </xdr:cNvSpPr>
      </xdr:nvSpPr>
      <xdr:spPr bwMode="auto">
        <a:xfrm>
          <a:off x="0" y="3098800"/>
          <a:ext cx="292100" cy="177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38</xdr:row>
      <xdr:rowOff>0</xdr:rowOff>
    </xdr:from>
    <xdr:ext cx="292100" cy="190500"/>
    <xdr:sp macro="" textlink="">
      <xdr:nvSpPr>
        <xdr:cNvPr id="29697" name="AutoShape 36" descr="France">
          <a:hlinkClick xmlns:r="http://schemas.openxmlformats.org/officeDocument/2006/relationships" r:id="rId22" tooltip="France"/>
          <a:extLst>
            <a:ext uri="{FF2B5EF4-FFF2-40B4-BE49-F238E27FC236}">
              <a16:creationId xmlns:a16="http://schemas.microsoft.com/office/drawing/2014/main" id="{B28148B7-7FC4-4942-AA82-CC277F147E9F}"/>
            </a:ext>
          </a:extLst>
        </xdr:cNvPr>
        <xdr:cNvSpPr>
          <a:spLocks noChangeAspect="1" noChangeArrowheads="1"/>
        </xdr:cNvSpPr>
      </xdr:nvSpPr>
      <xdr:spPr bwMode="auto">
        <a:xfrm>
          <a:off x="0" y="3327400"/>
          <a:ext cx="2921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39</xdr:row>
      <xdr:rowOff>0</xdr:rowOff>
    </xdr:from>
    <xdr:ext cx="292100" cy="152400"/>
    <xdr:sp macro="" textlink="">
      <xdr:nvSpPr>
        <xdr:cNvPr id="29698" name="AutoShape 37" descr="United Kingdom">
          <a:hlinkClick xmlns:r="http://schemas.openxmlformats.org/officeDocument/2006/relationships" r:id="rId8" tooltip="United Kingdom"/>
          <a:extLst>
            <a:ext uri="{FF2B5EF4-FFF2-40B4-BE49-F238E27FC236}">
              <a16:creationId xmlns:a16="http://schemas.microsoft.com/office/drawing/2014/main" id="{A902E4C9-7150-A146-A36D-0FD19995F5CE}"/>
            </a:ext>
          </a:extLst>
        </xdr:cNvPr>
        <xdr:cNvSpPr>
          <a:spLocks noChangeAspect="1" noChangeArrowheads="1"/>
        </xdr:cNvSpPr>
      </xdr:nvSpPr>
      <xdr:spPr bwMode="auto">
        <a:xfrm>
          <a:off x="0" y="3556000"/>
          <a:ext cx="2921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40</xdr:row>
      <xdr:rowOff>0</xdr:rowOff>
    </xdr:from>
    <xdr:ext cx="292100" cy="152400"/>
    <xdr:sp macro="" textlink="">
      <xdr:nvSpPr>
        <xdr:cNvPr id="29699" name="AutoShape 38" descr="New Zealand">
          <a:hlinkClick xmlns:r="http://schemas.openxmlformats.org/officeDocument/2006/relationships" r:id="rId23" tooltip="New Zealand"/>
          <a:extLst>
            <a:ext uri="{FF2B5EF4-FFF2-40B4-BE49-F238E27FC236}">
              <a16:creationId xmlns:a16="http://schemas.microsoft.com/office/drawing/2014/main" id="{CC344C2B-C75D-174D-BED7-31C56E7688E0}"/>
            </a:ext>
          </a:extLst>
        </xdr:cNvPr>
        <xdr:cNvSpPr>
          <a:spLocks noChangeAspect="1" noChangeArrowheads="1"/>
        </xdr:cNvSpPr>
      </xdr:nvSpPr>
      <xdr:spPr bwMode="auto">
        <a:xfrm>
          <a:off x="0" y="3784600"/>
          <a:ext cx="2921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41</xdr:row>
      <xdr:rowOff>0</xdr:rowOff>
    </xdr:from>
    <xdr:ext cx="292100" cy="190500"/>
    <xdr:sp macro="" textlink="">
      <xdr:nvSpPr>
        <xdr:cNvPr id="29700" name="AutoShape 39" descr="France">
          <a:hlinkClick xmlns:r="http://schemas.openxmlformats.org/officeDocument/2006/relationships" r:id="rId22" tooltip="France"/>
          <a:extLst>
            <a:ext uri="{FF2B5EF4-FFF2-40B4-BE49-F238E27FC236}">
              <a16:creationId xmlns:a16="http://schemas.microsoft.com/office/drawing/2014/main" id="{0B80C9D7-2EC3-0047-AD02-71CEC5900A30}"/>
            </a:ext>
          </a:extLst>
        </xdr:cNvPr>
        <xdr:cNvSpPr>
          <a:spLocks noChangeAspect="1" noChangeArrowheads="1"/>
        </xdr:cNvSpPr>
      </xdr:nvSpPr>
      <xdr:spPr bwMode="auto">
        <a:xfrm>
          <a:off x="0" y="4013200"/>
          <a:ext cx="2921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42</xdr:row>
      <xdr:rowOff>0</xdr:rowOff>
    </xdr:from>
    <xdr:ext cx="292100" cy="152400"/>
    <xdr:sp macro="" textlink="">
      <xdr:nvSpPr>
        <xdr:cNvPr id="29723" name="AutoShape 40" descr="Canada">
          <a:hlinkClick xmlns:r="http://schemas.openxmlformats.org/officeDocument/2006/relationships" r:id="rId6" tooltip="Canada"/>
          <a:extLst>
            <a:ext uri="{FF2B5EF4-FFF2-40B4-BE49-F238E27FC236}">
              <a16:creationId xmlns:a16="http://schemas.microsoft.com/office/drawing/2014/main" id="{66A0EF29-B7DF-D048-881F-B5C92B9CBFCD}"/>
            </a:ext>
          </a:extLst>
        </xdr:cNvPr>
        <xdr:cNvSpPr>
          <a:spLocks noChangeAspect="1" noChangeArrowheads="1"/>
        </xdr:cNvSpPr>
      </xdr:nvSpPr>
      <xdr:spPr bwMode="auto">
        <a:xfrm>
          <a:off x="0" y="4241800"/>
          <a:ext cx="2921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43</xdr:row>
      <xdr:rowOff>0</xdr:rowOff>
    </xdr:from>
    <xdr:ext cx="292100" cy="190500"/>
    <xdr:pic>
      <xdr:nvPicPr>
        <xdr:cNvPr id="29737" name="Picture 29736" descr="Japan">
          <a:hlinkClick xmlns:r="http://schemas.openxmlformats.org/officeDocument/2006/relationships" r:id="rId24" tooltip="Japan"/>
          <a:extLst>
            <a:ext uri="{FF2B5EF4-FFF2-40B4-BE49-F238E27FC236}">
              <a16:creationId xmlns:a16="http://schemas.microsoft.com/office/drawing/2014/main" id="{D88504B5-F47F-1447-8C65-3C47C6E08504}"/>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0" y="4470400"/>
          <a:ext cx="292100" cy="1905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44</xdr:row>
      <xdr:rowOff>0</xdr:rowOff>
    </xdr:from>
    <xdr:ext cx="292100" cy="190500"/>
    <xdr:sp macro="" textlink="">
      <xdr:nvSpPr>
        <xdr:cNvPr id="29741" name="AutoShape 42" descr="France">
          <a:hlinkClick xmlns:r="http://schemas.openxmlformats.org/officeDocument/2006/relationships" r:id="rId22" tooltip="France"/>
          <a:extLst>
            <a:ext uri="{FF2B5EF4-FFF2-40B4-BE49-F238E27FC236}">
              <a16:creationId xmlns:a16="http://schemas.microsoft.com/office/drawing/2014/main" id="{5E777A16-1926-AE45-B17E-3EB6CD19ED01}"/>
            </a:ext>
          </a:extLst>
        </xdr:cNvPr>
        <xdr:cNvSpPr>
          <a:spLocks noChangeAspect="1" noChangeArrowheads="1"/>
        </xdr:cNvSpPr>
      </xdr:nvSpPr>
      <xdr:spPr bwMode="auto">
        <a:xfrm>
          <a:off x="0" y="4699000"/>
          <a:ext cx="2921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45</xdr:row>
      <xdr:rowOff>0</xdr:rowOff>
    </xdr:from>
    <xdr:ext cx="279400" cy="190500"/>
    <xdr:sp macro="" textlink="">
      <xdr:nvSpPr>
        <xdr:cNvPr id="29742" name="AutoShape 43" descr="Brazil">
          <a:hlinkClick xmlns:r="http://schemas.openxmlformats.org/officeDocument/2006/relationships" r:id="rId15" tooltip="Brazil"/>
          <a:extLst>
            <a:ext uri="{FF2B5EF4-FFF2-40B4-BE49-F238E27FC236}">
              <a16:creationId xmlns:a16="http://schemas.microsoft.com/office/drawing/2014/main" id="{60363724-51BB-064B-970E-0C54D918515E}"/>
            </a:ext>
          </a:extLst>
        </xdr:cNvPr>
        <xdr:cNvSpPr>
          <a:spLocks noChangeAspect="1" noChangeArrowheads="1"/>
        </xdr:cNvSpPr>
      </xdr:nvSpPr>
      <xdr:spPr bwMode="auto">
        <a:xfrm>
          <a:off x="0" y="4927600"/>
          <a:ext cx="2794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46</xdr:row>
      <xdr:rowOff>0</xdr:rowOff>
    </xdr:from>
    <xdr:ext cx="292100" cy="177800"/>
    <xdr:sp macro="" textlink="">
      <xdr:nvSpPr>
        <xdr:cNvPr id="29743" name="AutoShape 44" descr="Argentina">
          <a:hlinkClick xmlns:r="http://schemas.openxmlformats.org/officeDocument/2006/relationships" r:id="rId26" tooltip="Argentina"/>
          <a:extLst>
            <a:ext uri="{FF2B5EF4-FFF2-40B4-BE49-F238E27FC236}">
              <a16:creationId xmlns:a16="http://schemas.microsoft.com/office/drawing/2014/main" id="{8A3CCBD6-85F6-0043-B326-5E93DE65CB2E}"/>
            </a:ext>
          </a:extLst>
        </xdr:cNvPr>
        <xdr:cNvSpPr>
          <a:spLocks noChangeAspect="1" noChangeArrowheads="1"/>
        </xdr:cNvSpPr>
      </xdr:nvSpPr>
      <xdr:spPr bwMode="auto">
        <a:xfrm>
          <a:off x="0" y="5156200"/>
          <a:ext cx="292100" cy="177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47</xdr:row>
      <xdr:rowOff>0</xdr:rowOff>
    </xdr:from>
    <xdr:ext cx="292100" cy="152400"/>
    <xdr:pic>
      <xdr:nvPicPr>
        <xdr:cNvPr id="29744" name="Picture 29743" descr="Australia">
          <a:hlinkClick xmlns:r="http://schemas.openxmlformats.org/officeDocument/2006/relationships" r:id="rId18" tooltip="Australia"/>
          <a:extLst>
            <a:ext uri="{FF2B5EF4-FFF2-40B4-BE49-F238E27FC236}">
              <a16:creationId xmlns:a16="http://schemas.microsoft.com/office/drawing/2014/main" id="{4D208BD7-264B-5144-AA37-256701739A59}"/>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0" y="5384800"/>
          <a:ext cx="292100" cy="1524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xdr:col>
      <xdr:colOff>0</xdr:colOff>
      <xdr:row>27</xdr:row>
      <xdr:rowOff>0</xdr:rowOff>
    </xdr:from>
    <xdr:ext cx="292100" cy="190500"/>
    <xdr:sp macro="" textlink="">
      <xdr:nvSpPr>
        <xdr:cNvPr id="29797" name="AutoShape 5" descr="Saudi Arabia">
          <a:hlinkClick xmlns:r="http://schemas.openxmlformats.org/officeDocument/2006/relationships" r:id="rId1" tooltip="Saudi Arabia"/>
          <a:extLst>
            <a:ext uri="{FF2B5EF4-FFF2-40B4-BE49-F238E27FC236}">
              <a16:creationId xmlns:a16="http://schemas.microsoft.com/office/drawing/2014/main" id="{7F54DF10-5DEA-B14C-B46C-80291C0319BF}"/>
            </a:ext>
          </a:extLst>
        </xdr:cNvPr>
        <xdr:cNvSpPr>
          <a:spLocks noChangeAspect="1" noChangeArrowheads="1"/>
        </xdr:cNvSpPr>
      </xdr:nvSpPr>
      <xdr:spPr bwMode="auto">
        <a:xfrm>
          <a:off x="5397500" y="609600"/>
          <a:ext cx="2921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27</xdr:row>
      <xdr:rowOff>0</xdr:rowOff>
    </xdr:from>
    <xdr:ext cx="292100" cy="152400"/>
    <xdr:sp macro="" textlink="">
      <xdr:nvSpPr>
        <xdr:cNvPr id="29798" name="AutoShape 6" descr="United States">
          <a:hlinkClick xmlns:r="http://schemas.openxmlformats.org/officeDocument/2006/relationships" r:id="rId2" tooltip="United States"/>
          <a:extLst>
            <a:ext uri="{FF2B5EF4-FFF2-40B4-BE49-F238E27FC236}">
              <a16:creationId xmlns:a16="http://schemas.microsoft.com/office/drawing/2014/main" id="{FE331B2C-E8A0-D24F-BC13-4612456AE6DB}"/>
            </a:ext>
          </a:extLst>
        </xdr:cNvPr>
        <xdr:cNvSpPr>
          <a:spLocks noChangeAspect="1" noChangeArrowheads="1"/>
        </xdr:cNvSpPr>
      </xdr:nvSpPr>
      <xdr:spPr bwMode="auto">
        <a:xfrm>
          <a:off x="6223000" y="609600"/>
          <a:ext cx="2921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27</xdr:row>
      <xdr:rowOff>0</xdr:rowOff>
    </xdr:from>
    <xdr:ext cx="292100" cy="190500"/>
    <xdr:sp macro="" textlink="">
      <xdr:nvSpPr>
        <xdr:cNvPr id="29799" name="AutoShape 7" descr="Italy">
          <a:hlinkClick xmlns:r="http://schemas.openxmlformats.org/officeDocument/2006/relationships" r:id="rId3" tooltip="Italy"/>
          <a:extLst>
            <a:ext uri="{FF2B5EF4-FFF2-40B4-BE49-F238E27FC236}">
              <a16:creationId xmlns:a16="http://schemas.microsoft.com/office/drawing/2014/main" id="{1EDBCCE5-279D-964D-AFAD-974AFD37540E}"/>
            </a:ext>
          </a:extLst>
        </xdr:cNvPr>
        <xdr:cNvSpPr>
          <a:spLocks noChangeAspect="1" noChangeArrowheads="1"/>
        </xdr:cNvSpPr>
      </xdr:nvSpPr>
      <xdr:spPr bwMode="auto">
        <a:xfrm>
          <a:off x="7048500" y="609600"/>
          <a:ext cx="2921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9</xdr:col>
      <xdr:colOff>0</xdr:colOff>
      <xdr:row>27</xdr:row>
      <xdr:rowOff>0</xdr:rowOff>
    </xdr:from>
    <xdr:ext cx="292100" cy="190500"/>
    <xdr:sp macro="" textlink="">
      <xdr:nvSpPr>
        <xdr:cNvPr id="29801" name="AutoShape 9" descr="Spain">
          <a:hlinkClick xmlns:r="http://schemas.openxmlformats.org/officeDocument/2006/relationships" r:id="rId5" tooltip="Spain"/>
          <a:extLst>
            <a:ext uri="{FF2B5EF4-FFF2-40B4-BE49-F238E27FC236}">
              <a16:creationId xmlns:a16="http://schemas.microsoft.com/office/drawing/2014/main" id="{4A957C5F-DB2F-2848-AB73-C510675FE479}"/>
            </a:ext>
          </a:extLst>
        </xdr:cNvPr>
        <xdr:cNvSpPr>
          <a:spLocks noChangeAspect="1" noChangeArrowheads="1"/>
        </xdr:cNvSpPr>
      </xdr:nvSpPr>
      <xdr:spPr bwMode="auto">
        <a:xfrm>
          <a:off x="8699500" y="609600"/>
          <a:ext cx="2921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10</xdr:col>
      <xdr:colOff>0</xdr:colOff>
      <xdr:row>27</xdr:row>
      <xdr:rowOff>0</xdr:rowOff>
    </xdr:from>
    <xdr:ext cx="292100" cy="152400"/>
    <xdr:sp macro="" textlink="">
      <xdr:nvSpPr>
        <xdr:cNvPr id="29802" name="AutoShape 10" descr="Canada">
          <a:hlinkClick xmlns:r="http://schemas.openxmlformats.org/officeDocument/2006/relationships" r:id="rId6" tooltip="Canada"/>
          <a:extLst>
            <a:ext uri="{FF2B5EF4-FFF2-40B4-BE49-F238E27FC236}">
              <a16:creationId xmlns:a16="http://schemas.microsoft.com/office/drawing/2014/main" id="{A025DD4D-2D19-8A4D-A54C-245FB8FD0CEC}"/>
            </a:ext>
          </a:extLst>
        </xdr:cNvPr>
        <xdr:cNvSpPr>
          <a:spLocks noChangeAspect="1" noChangeArrowheads="1"/>
        </xdr:cNvSpPr>
      </xdr:nvSpPr>
      <xdr:spPr bwMode="auto">
        <a:xfrm>
          <a:off x="9525000" y="609600"/>
          <a:ext cx="2921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27</xdr:row>
      <xdr:rowOff>0</xdr:rowOff>
    </xdr:from>
    <xdr:ext cx="292100" cy="190500"/>
    <xdr:sp macro="" textlink="">
      <xdr:nvSpPr>
        <xdr:cNvPr id="29803" name="AutoShape 11" descr="Austria">
          <a:hlinkClick xmlns:r="http://schemas.openxmlformats.org/officeDocument/2006/relationships" r:id="rId7" tooltip="Austria"/>
          <a:extLst>
            <a:ext uri="{FF2B5EF4-FFF2-40B4-BE49-F238E27FC236}">
              <a16:creationId xmlns:a16="http://schemas.microsoft.com/office/drawing/2014/main" id="{96424B88-FE27-5E4D-9F98-5E21EAF195AE}"/>
            </a:ext>
          </a:extLst>
        </xdr:cNvPr>
        <xdr:cNvSpPr>
          <a:spLocks noChangeAspect="1" noChangeArrowheads="1"/>
        </xdr:cNvSpPr>
      </xdr:nvSpPr>
      <xdr:spPr bwMode="auto">
        <a:xfrm>
          <a:off x="10350500" y="609600"/>
          <a:ext cx="2921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27</xdr:row>
      <xdr:rowOff>0</xdr:rowOff>
    </xdr:from>
    <xdr:ext cx="292100" cy="152400"/>
    <xdr:sp macro="" textlink="">
      <xdr:nvSpPr>
        <xdr:cNvPr id="29804" name="AutoShape 12" descr="United Kingdom">
          <a:hlinkClick xmlns:r="http://schemas.openxmlformats.org/officeDocument/2006/relationships" r:id="rId8" tooltip="United Kingdom"/>
          <a:extLst>
            <a:ext uri="{FF2B5EF4-FFF2-40B4-BE49-F238E27FC236}">
              <a16:creationId xmlns:a16="http://schemas.microsoft.com/office/drawing/2014/main" id="{9B9A5841-B959-E845-8964-4858EF65340C}"/>
            </a:ext>
          </a:extLst>
        </xdr:cNvPr>
        <xdr:cNvSpPr>
          <a:spLocks noChangeAspect="1" noChangeArrowheads="1"/>
        </xdr:cNvSpPr>
      </xdr:nvSpPr>
      <xdr:spPr bwMode="auto">
        <a:xfrm>
          <a:off x="11176000" y="609600"/>
          <a:ext cx="2921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13</xdr:col>
      <xdr:colOff>0</xdr:colOff>
      <xdr:row>27</xdr:row>
      <xdr:rowOff>0</xdr:rowOff>
    </xdr:from>
    <xdr:ext cx="292100" cy="190500"/>
    <xdr:sp macro="" textlink="">
      <xdr:nvSpPr>
        <xdr:cNvPr id="29805" name="AutoShape 13" descr="Belgium">
          <a:hlinkClick xmlns:r="http://schemas.openxmlformats.org/officeDocument/2006/relationships" r:id="rId9" tooltip="Belgium"/>
          <a:extLst>
            <a:ext uri="{FF2B5EF4-FFF2-40B4-BE49-F238E27FC236}">
              <a16:creationId xmlns:a16="http://schemas.microsoft.com/office/drawing/2014/main" id="{0E915BBC-8154-0740-A28C-2A1E9768DDD8}"/>
            </a:ext>
          </a:extLst>
        </xdr:cNvPr>
        <xdr:cNvSpPr>
          <a:spLocks noChangeAspect="1" noChangeArrowheads="1"/>
        </xdr:cNvSpPr>
      </xdr:nvSpPr>
      <xdr:spPr bwMode="auto">
        <a:xfrm>
          <a:off x="12001500" y="609600"/>
          <a:ext cx="2921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14</xdr:col>
      <xdr:colOff>0</xdr:colOff>
      <xdr:row>27</xdr:row>
      <xdr:rowOff>0</xdr:rowOff>
    </xdr:from>
    <xdr:ext cx="292100" cy="152400"/>
    <xdr:sp macro="" textlink="">
      <xdr:nvSpPr>
        <xdr:cNvPr id="29806" name="AutoShape 14" descr="Hungary">
          <a:hlinkClick xmlns:r="http://schemas.openxmlformats.org/officeDocument/2006/relationships" r:id="rId10" tooltip="Hungary"/>
          <a:extLst>
            <a:ext uri="{FF2B5EF4-FFF2-40B4-BE49-F238E27FC236}">
              <a16:creationId xmlns:a16="http://schemas.microsoft.com/office/drawing/2014/main" id="{735162A8-5912-184F-8725-0FAE62254F55}"/>
            </a:ext>
          </a:extLst>
        </xdr:cNvPr>
        <xdr:cNvSpPr>
          <a:spLocks noChangeAspect="1" noChangeArrowheads="1"/>
        </xdr:cNvSpPr>
      </xdr:nvSpPr>
      <xdr:spPr bwMode="auto">
        <a:xfrm>
          <a:off x="12827000" y="609600"/>
          <a:ext cx="2921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27</xdr:row>
      <xdr:rowOff>0</xdr:rowOff>
    </xdr:from>
    <xdr:ext cx="292100" cy="190500"/>
    <xdr:sp macro="" textlink="">
      <xdr:nvSpPr>
        <xdr:cNvPr id="29807" name="AutoShape 15" descr="Netherlands">
          <a:hlinkClick xmlns:r="http://schemas.openxmlformats.org/officeDocument/2006/relationships" r:id="rId11" tooltip="Netherlands"/>
          <a:extLst>
            <a:ext uri="{FF2B5EF4-FFF2-40B4-BE49-F238E27FC236}">
              <a16:creationId xmlns:a16="http://schemas.microsoft.com/office/drawing/2014/main" id="{9653E246-469D-7847-A759-D9B5B5B8627C}"/>
            </a:ext>
          </a:extLst>
        </xdr:cNvPr>
        <xdr:cNvSpPr>
          <a:spLocks noChangeAspect="1" noChangeArrowheads="1"/>
        </xdr:cNvSpPr>
      </xdr:nvSpPr>
      <xdr:spPr bwMode="auto">
        <a:xfrm>
          <a:off x="13652500" y="609600"/>
          <a:ext cx="2921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16</xdr:col>
      <xdr:colOff>0</xdr:colOff>
      <xdr:row>27</xdr:row>
      <xdr:rowOff>0</xdr:rowOff>
    </xdr:from>
    <xdr:ext cx="292100" cy="190500"/>
    <xdr:sp macro="" textlink="">
      <xdr:nvSpPr>
        <xdr:cNvPr id="29808" name="AutoShape 16" descr="Italy">
          <a:hlinkClick xmlns:r="http://schemas.openxmlformats.org/officeDocument/2006/relationships" r:id="rId3" tooltip="Italy"/>
          <a:extLst>
            <a:ext uri="{FF2B5EF4-FFF2-40B4-BE49-F238E27FC236}">
              <a16:creationId xmlns:a16="http://schemas.microsoft.com/office/drawing/2014/main" id="{BC3D95AF-33F2-F54B-B349-78E8F66205FE}"/>
            </a:ext>
          </a:extLst>
        </xdr:cNvPr>
        <xdr:cNvSpPr>
          <a:spLocks noChangeAspect="1" noChangeArrowheads="1"/>
        </xdr:cNvSpPr>
      </xdr:nvSpPr>
      <xdr:spPr bwMode="auto">
        <a:xfrm>
          <a:off x="14478000" y="609600"/>
          <a:ext cx="2921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17</xdr:col>
      <xdr:colOff>0</xdr:colOff>
      <xdr:row>27</xdr:row>
      <xdr:rowOff>0</xdr:rowOff>
    </xdr:from>
    <xdr:ext cx="292100" cy="152400"/>
    <xdr:sp macro="" textlink="">
      <xdr:nvSpPr>
        <xdr:cNvPr id="29809" name="AutoShape 17" descr="Azerbaijan">
          <a:hlinkClick xmlns:r="http://schemas.openxmlformats.org/officeDocument/2006/relationships" r:id="rId12" tooltip="Azerbaijan"/>
          <a:extLst>
            <a:ext uri="{FF2B5EF4-FFF2-40B4-BE49-F238E27FC236}">
              <a16:creationId xmlns:a16="http://schemas.microsoft.com/office/drawing/2014/main" id="{2168E937-F3BA-AB4A-8078-6A4C4007CB33}"/>
            </a:ext>
          </a:extLst>
        </xdr:cNvPr>
        <xdr:cNvSpPr>
          <a:spLocks noChangeAspect="1" noChangeArrowheads="1"/>
        </xdr:cNvSpPr>
      </xdr:nvSpPr>
      <xdr:spPr bwMode="auto">
        <a:xfrm>
          <a:off x="15303500" y="609600"/>
          <a:ext cx="2921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18</xdr:col>
      <xdr:colOff>0</xdr:colOff>
      <xdr:row>27</xdr:row>
      <xdr:rowOff>0</xdr:rowOff>
    </xdr:from>
    <xdr:ext cx="292100" cy="190500"/>
    <xdr:sp macro="" textlink="">
      <xdr:nvSpPr>
        <xdr:cNvPr id="29810" name="AutoShape 18" descr="Singapore">
          <a:hlinkClick xmlns:r="http://schemas.openxmlformats.org/officeDocument/2006/relationships" r:id="rId13" tooltip="Singapore"/>
          <a:extLst>
            <a:ext uri="{FF2B5EF4-FFF2-40B4-BE49-F238E27FC236}">
              <a16:creationId xmlns:a16="http://schemas.microsoft.com/office/drawing/2014/main" id="{57C174DB-813F-6A4B-AB23-8BF9C6DD0CE4}"/>
            </a:ext>
          </a:extLst>
        </xdr:cNvPr>
        <xdr:cNvSpPr>
          <a:spLocks noChangeAspect="1" noChangeArrowheads="1"/>
        </xdr:cNvSpPr>
      </xdr:nvSpPr>
      <xdr:spPr bwMode="auto">
        <a:xfrm>
          <a:off x="16129000" y="609600"/>
          <a:ext cx="2921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19</xdr:col>
      <xdr:colOff>0</xdr:colOff>
      <xdr:row>27</xdr:row>
      <xdr:rowOff>0</xdr:rowOff>
    </xdr:from>
    <xdr:ext cx="292100" cy="152400"/>
    <xdr:sp macro="" textlink="">
      <xdr:nvSpPr>
        <xdr:cNvPr id="29811" name="AutoShape 19" descr="United States">
          <a:hlinkClick xmlns:r="http://schemas.openxmlformats.org/officeDocument/2006/relationships" r:id="rId2" tooltip="United States"/>
          <a:extLst>
            <a:ext uri="{FF2B5EF4-FFF2-40B4-BE49-F238E27FC236}">
              <a16:creationId xmlns:a16="http://schemas.microsoft.com/office/drawing/2014/main" id="{381E0A9C-41AC-FD4F-8350-55980CE90B98}"/>
            </a:ext>
          </a:extLst>
        </xdr:cNvPr>
        <xdr:cNvSpPr>
          <a:spLocks noChangeAspect="1" noChangeArrowheads="1"/>
        </xdr:cNvSpPr>
      </xdr:nvSpPr>
      <xdr:spPr bwMode="auto">
        <a:xfrm>
          <a:off x="16954500" y="609600"/>
          <a:ext cx="2921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20</xdr:col>
      <xdr:colOff>0</xdr:colOff>
      <xdr:row>27</xdr:row>
      <xdr:rowOff>0</xdr:rowOff>
    </xdr:from>
    <xdr:ext cx="292100" cy="165100"/>
    <xdr:sp macro="" textlink="">
      <xdr:nvSpPr>
        <xdr:cNvPr id="29812" name="AutoShape 20" descr="Mexico">
          <a:hlinkClick xmlns:r="http://schemas.openxmlformats.org/officeDocument/2006/relationships" r:id="rId14" tooltip="Mexico"/>
          <a:extLst>
            <a:ext uri="{FF2B5EF4-FFF2-40B4-BE49-F238E27FC236}">
              <a16:creationId xmlns:a16="http://schemas.microsoft.com/office/drawing/2014/main" id="{A30D3E3D-174E-5E48-BEA9-2531CCAB7F68}"/>
            </a:ext>
          </a:extLst>
        </xdr:cNvPr>
        <xdr:cNvSpPr>
          <a:spLocks noChangeAspect="1" noChangeArrowheads="1"/>
        </xdr:cNvSpPr>
      </xdr:nvSpPr>
      <xdr:spPr bwMode="auto">
        <a:xfrm>
          <a:off x="17818100" y="609600"/>
          <a:ext cx="292100" cy="165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21</xdr:col>
      <xdr:colOff>0</xdr:colOff>
      <xdr:row>27</xdr:row>
      <xdr:rowOff>0</xdr:rowOff>
    </xdr:from>
    <xdr:ext cx="279400" cy="190500"/>
    <xdr:sp macro="" textlink="">
      <xdr:nvSpPr>
        <xdr:cNvPr id="29813" name="AutoShape 21" descr="Brazil">
          <a:hlinkClick xmlns:r="http://schemas.openxmlformats.org/officeDocument/2006/relationships" r:id="rId15" tooltip="Brazil"/>
          <a:extLst>
            <a:ext uri="{FF2B5EF4-FFF2-40B4-BE49-F238E27FC236}">
              <a16:creationId xmlns:a16="http://schemas.microsoft.com/office/drawing/2014/main" id="{48788886-F78E-F541-9A07-CCFA995CE144}"/>
            </a:ext>
          </a:extLst>
        </xdr:cNvPr>
        <xdr:cNvSpPr>
          <a:spLocks noChangeAspect="1" noChangeArrowheads="1"/>
        </xdr:cNvSpPr>
      </xdr:nvSpPr>
      <xdr:spPr bwMode="auto">
        <a:xfrm>
          <a:off x="18643600" y="609600"/>
          <a:ext cx="2794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22</xdr:col>
      <xdr:colOff>0</xdr:colOff>
      <xdr:row>27</xdr:row>
      <xdr:rowOff>0</xdr:rowOff>
    </xdr:from>
    <xdr:ext cx="292100" cy="152400"/>
    <xdr:sp macro="" textlink="">
      <xdr:nvSpPr>
        <xdr:cNvPr id="29814" name="AutoShape 22" descr="United States">
          <a:hlinkClick xmlns:r="http://schemas.openxmlformats.org/officeDocument/2006/relationships" r:id="rId2" tooltip="United States"/>
          <a:extLst>
            <a:ext uri="{FF2B5EF4-FFF2-40B4-BE49-F238E27FC236}">
              <a16:creationId xmlns:a16="http://schemas.microsoft.com/office/drawing/2014/main" id="{93219EBC-663A-B742-BCEF-45BB502C05A6}"/>
            </a:ext>
          </a:extLst>
        </xdr:cNvPr>
        <xdr:cNvSpPr>
          <a:spLocks noChangeAspect="1" noChangeArrowheads="1"/>
        </xdr:cNvSpPr>
      </xdr:nvSpPr>
      <xdr:spPr bwMode="auto">
        <a:xfrm>
          <a:off x="19469100" y="609600"/>
          <a:ext cx="2921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23</xdr:col>
      <xdr:colOff>0</xdr:colOff>
      <xdr:row>27</xdr:row>
      <xdr:rowOff>0</xdr:rowOff>
    </xdr:from>
    <xdr:ext cx="292100" cy="114300"/>
    <xdr:sp macro="" textlink="">
      <xdr:nvSpPr>
        <xdr:cNvPr id="29815" name="AutoShape 23" descr="Qatar">
          <a:hlinkClick xmlns:r="http://schemas.openxmlformats.org/officeDocument/2006/relationships" r:id="rId16" tooltip="Qatar"/>
          <a:extLst>
            <a:ext uri="{FF2B5EF4-FFF2-40B4-BE49-F238E27FC236}">
              <a16:creationId xmlns:a16="http://schemas.microsoft.com/office/drawing/2014/main" id="{DEA5FABB-0B77-1449-8EC4-35EE94945067}"/>
            </a:ext>
          </a:extLst>
        </xdr:cNvPr>
        <xdr:cNvSpPr>
          <a:spLocks noChangeAspect="1" noChangeArrowheads="1"/>
        </xdr:cNvSpPr>
      </xdr:nvSpPr>
      <xdr:spPr bwMode="auto">
        <a:xfrm>
          <a:off x="20294600" y="609600"/>
          <a:ext cx="292100" cy="1143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24</xdr:col>
      <xdr:colOff>0</xdr:colOff>
      <xdr:row>27</xdr:row>
      <xdr:rowOff>0</xdr:rowOff>
    </xdr:from>
    <xdr:ext cx="292100" cy="152400"/>
    <xdr:sp macro="" textlink="">
      <xdr:nvSpPr>
        <xdr:cNvPr id="29816" name="AutoShape 24" descr="United Arab Emirates">
          <a:hlinkClick xmlns:r="http://schemas.openxmlformats.org/officeDocument/2006/relationships" r:id="rId17" tooltip="United Arab Emirates"/>
          <a:extLst>
            <a:ext uri="{FF2B5EF4-FFF2-40B4-BE49-F238E27FC236}">
              <a16:creationId xmlns:a16="http://schemas.microsoft.com/office/drawing/2014/main" id="{58D7B367-0BA3-324E-B4A7-39A536B55C4F}"/>
            </a:ext>
          </a:extLst>
        </xdr:cNvPr>
        <xdr:cNvSpPr>
          <a:spLocks noChangeAspect="1" noChangeArrowheads="1"/>
        </xdr:cNvSpPr>
      </xdr:nvSpPr>
      <xdr:spPr bwMode="auto">
        <a:xfrm>
          <a:off x="21120100" y="609600"/>
          <a:ext cx="2921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59</xdr:row>
      <xdr:rowOff>0</xdr:rowOff>
    </xdr:from>
    <xdr:ext cx="292100" cy="152400"/>
    <xdr:sp macro="" textlink="">
      <xdr:nvSpPr>
        <xdr:cNvPr id="29817" name="AutoShape 25" descr="United Kingdom">
          <a:hlinkClick xmlns:r="http://schemas.openxmlformats.org/officeDocument/2006/relationships" r:id="rId8" tooltip="United Kingdom"/>
          <a:extLst>
            <a:ext uri="{FF2B5EF4-FFF2-40B4-BE49-F238E27FC236}">
              <a16:creationId xmlns:a16="http://schemas.microsoft.com/office/drawing/2014/main" id="{12F233D5-0080-994E-B953-A68571BE43F6}"/>
            </a:ext>
          </a:extLst>
        </xdr:cNvPr>
        <xdr:cNvSpPr>
          <a:spLocks noChangeAspect="1" noChangeArrowheads="1"/>
        </xdr:cNvSpPr>
      </xdr:nvSpPr>
      <xdr:spPr bwMode="auto">
        <a:xfrm>
          <a:off x="0" y="6019800"/>
          <a:ext cx="2921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60</xdr:row>
      <xdr:rowOff>0</xdr:rowOff>
    </xdr:from>
    <xdr:ext cx="292100" cy="190500"/>
    <xdr:sp macro="" textlink="">
      <xdr:nvSpPr>
        <xdr:cNvPr id="29818" name="AutoShape 26" descr="Netherlands">
          <a:hlinkClick xmlns:r="http://schemas.openxmlformats.org/officeDocument/2006/relationships" r:id="rId11" tooltip="Netherlands"/>
          <a:extLst>
            <a:ext uri="{FF2B5EF4-FFF2-40B4-BE49-F238E27FC236}">
              <a16:creationId xmlns:a16="http://schemas.microsoft.com/office/drawing/2014/main" id="{A66488CA-7FF6-174E-BEE2-9BCA608EB736}"/>
            </a:ext>
          </a:extLst>
        </xdr:cNvPr>
        <xdr:cNvSpPr>
          <a:spLocks noChangeAspect="1" noChangeArrowheads="1"/>
        </xdr:cNvSpPr>
      </xdr:nvSpPr>
      <xdr:spPr bwMode="auto">
        <a:xfrm>
          <a:off x="0" y="6248400"/>
          <a:ext cx="2921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61</xdr:row>
      <xdr:rowOff>0</xdr:rowOff>
    </xdr:from>
    <xdr:ext cx="292100" cy="152400"/>
    <xdr:pic>
      <xdr:nvPicPr>
        <xdr:cNvPr id="29819" name="Picture 29818" descr="Australia">
          <a:hlinkClick xmlns:r="http://schemas.openxmlformats.org/officeDocument/2006/relationships" r:id="rId18" tooltip="Australia"/>
          <a:extLst>
            <a:ext uri="{FF2B5EF4-FFF2-40B4-BE49-F238E27FC236}">
              <a16:creationId xmlns:a16="http://schemas.microsoft.com/office/drawing/2014/main" id="{4E5A7796-AD94-5845-8847-3E13E1C3BAB9}"/>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0" y="6477000"/>
          <a:ext cx="292100" cy="1524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62</xdr:row>
      <xdr:rowOff>0</xdr:rowOff>
    </xdr:from>
    <xdr:ext cx="292100" cy="152400"/>
    <xdr:sp macro="" textlink="">
      <xdr:nvSpPr>
        <xdr:cNvPr id="29820" name="AutoShape 28" descr="United Kingdom">
          <a:hlinkClick xmlns:r="http://schemas.openxmlformats.org/officeDocument/2006/relationships" r:id="rId8" tooltip="United Kingdom"/>
          <a:extLst>
            <a:ext uri="{FF2B5EF4-FFF2-40B4-BE49-F238E27FC236}">
              <a16:creationId xmlns:a16="http://schemas.microsoft.com/office/drawing/2014/main" id="{59DC4616-C3D9-B847-8522-E9544DEA1E48}"/>
            </a:ext>
          </a:extLst>
        </xdr:cNvPr>
        <xdr:cNvSpPr>
          <a:spLocks noChangeAspect="1" noChangeArrowheads="1"/>
        </xdr:cNvSpPr>
      </xdr:nvSpPr>
      <xdr:spPr bwMode="auto">
        <a:xfrm>
          <a:off x="0" y="6705600"/>
          <a:ext cx="2921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63</xdr:row>
      <xdr:rowOff>0</xdr:rowOff>
    </xdr:from>
    <xdr:ext cx="241300" cy="190500"/>
    <xdr:sp macro="" textlink="">
      <xdr:nvSpPr>
        <xdr:cNvPr id="29821" name="AutoShape 29" descr="Monaco">
          <a:hlinkClick xmlns:r="http://schemas.openxmlformats.org/officeDocument/2006/relationships" r:id="rId4" tooltip="Monaco"/>
          <a:extLst>
            <a:ext uri="{FF2B5EF4-FFF2-40B4-BE49-F238E27FC236}">
              <a16:creationId xmlns:a16="http://schemas.microsoft.com/office/drawing/2014/main" id="{38CC301B-AD15-2E4C-A708-DBFE2E672782}"/>
            </a:ext>
          </a:extLst>
        </xdr:cNvPr>
        <xdr:cNvSpPr>
          <a:spLocks noChangeAspect="1" noChangeArrowheads="1"/>
        </xdr:cNvSpPr>
      </xdr:nvSpPr>
      <xdr:spPr bwMode="auto">
        <a:xfrm>
          <a:off x="0" y="6934200"/>
          <a:ext cx="2413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64</xdr:row>
      <xdr:rowOff>0</xdr:rowOff>
    </xdr:from>
    <xdr:ext cx="292100" cy="152400"/>
    <xdr:sp macro="" textlink="">
      <xdr:nvSpPr>
        <xdr:cNvPr id="29822" name="AutoShape 30" descr="United Kingdom">
          <a:hlinkClick xmlns:r="http://schemas.openxmlformats.org/officeDocument/2006/relationships" r:id="rId8" tooltip="United Kingdom"/>
          <a:extLst>
            <a:ext uri="{FF2B5EF4-FFF2-40B4-BE49-F238E27FC236}">
              <a16:creationId xmlns:a16="http://schemas.microsoft.com/office/drawing/2014/main" id="{20E14F5D-18D6-EE41-9F02-5617464CB6AB}"/>
            </a:ext>
          </a:extLst>
        </xdr:cNvPr>
        <xdr:cNvSpPr>
          <a:spLocks noChangeAspect="1" noChangeArrowheads="1"/>
        </xdr:cNvSpPr>
      </xdr:nvSpPr>
      <xdr:spPr bwMode="auto">
        <a:xfrm>
          <a:off x="0" y="7162800"/>
          <a:ext cx="2921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65</xdr:row>
      <xdr:rowOff>0</xdr:rowOff>
    </xdr:from>
    <xdr:ext cx="292100" cy="190500"/>
    <xdr:sp macro="" textlink="">
      <xdr:nvSpPr>
        <xdr:cNvPr id="29823" name="AutoShape 31" descr="Italy">
          <a:hlinkClick xmlns:r="http://schemas.openxmlformats.org/officeDocument/2006/relationships" r:id="rId3" tooltip="Italy"/>
          <a:extLst>
            <a:ext uri="{FF2B5EF4-FFF2-40B4-BE49-F238E27FC236}">
              <a16:creationId xmlns:a16="http://schemas.microsoft.com/office/drawing/2014/main" id="{8A7E7CBF-FA44-4441-B881-73FAE0AAE8C3}"/>
            </a:ext>
          </a:extLst>
        </xdr:cNvPr>
        <xdr:cNvSpPr>
          <a:spLocks noChangeAspect="1" noChangeArrowheads="1"/>
        </xdr:cNvSpPr>
      </xdr:nvSpPr>
      <xdr:spPr bwMode="auto">
        <a:xfrm>
          <a:off x="0" y="7391400"/>
          <a:ext cx="2921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66</xdr:row>
      <xdr:rowOff>0</xdr:rowOff>
    </xdr:from>
    <xdr:ext cx="292100" cy="190500"/>
    <xdr:sp macro="" textlink="">
      <xdr:nvSpPr>
        <xdr:cNvPr id="29824" name="AutoShape 32" descr="Thailand">
          <a:hlinkClick xmlns:r="http://schemas.openxmlformats.org/officeDocument/2006/relationships" r:id="rId20" tooltip="Thailand"/>
          <a:extLst>
            <a:ext uri="{FF2B5EF4-FFF2-40B4-BE49-F238E27FC236}">
              <a16:creationId xmlns:a16="http://schemas.microsoft.com/office/drawing/2014/main" id="{61F9E2D9-10B6-E348-8999-DC7AA0FE9308}"/>
            </a:ext>
          </a:extLst>
        </xdr:cNvPr>
        <xdr:cNvSpPr>
          <a:spLocks noChangeAspect="1" noChangeArrowheads="1"/>
        </xdr:cNvSpPr>
      </xdr:nvSpPr>
      <xdr:spPr bwMode="auto">
        <a:xfrm>
          <a:off x="0" y="7620000"/>
          <a:ext cx="2921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67</xdr:row>
      <xdr:rowOff>0</xdr:rowOff>
    </xdr:from>
    <xdr:ext cx="292100" cy="190500"/>
    <xdr:sp macro="" textlink="">
      <xdr:nvSpPr>
        <xdr:cNvPr id="29825" name="AutoShape 33" descr="Spain">
          <a:hlinkClick xmlns:r="http://schemas.openxmlformats.org/officeDocument/2006/relationships" r:id="rId5" tooltip="Spain"/>
          <a:extLst>
            <a:ext uri="{FF2B5EF4-FFF2-40B4-BE49-F238E27FC236}">
              <a16:creationId xmlns:a16="http://schemas.microsoft.com/office/drawing/2014/main" id="{20C5AC42-D419-EF45-A9C8-28C65E815111}"/>
            </a:ext>
          </a:extLst>
        </xdr:cNvPr>
        <xdr:cNvSpPr>
          <a:spLocks noChangeAspect="1" noChangeArrowheads="1"/>
        </xdr:cNvSpPr>
      </xdr:nvSpPr>
      <xdr:spPr bwMode="auto">
        <a:xfrm>
          <a:off x="0" y="7848600"/>
          <a:ext cx="2921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68</xdr:row>
      <xdr:rowOff>0</xdr:rowOff>
    </xdr:from>
    <xdr:ext cx="292100" cy="190500"/>
    <xdr:sp macro="" textlink="">
      <xdr:nvSpPr>
        <xdr:cNvPr id="29826" name="AutoShape 34" descr="Spain">
          <a:hlinkClick xmlns:r="http://schemas.openxmlformats.org/officeDocument/2006/relationships" r:id="rId5" tooltip="Spain"/>
          <a:extLst>
            <a:ext uri="{FF2B5EF4-FFF2-40B4-BE49-F238E27FC236}">
              <a16:creationId xmlns:a16="http://schemas.microsoft.com/office/drawing/2014/main" id="{57B8FB61-5891-A94A-AAD8-D9F3C1DA77E9}"/>
            </a:ext>
          </a:extLst>
        </xdr:cNvPr>
        <xdr:cNvSpPr>
          <a:spLocks noChangeAspect="1" noChangeArrowheads="1"/>
        </xdr:cNvSpPr>
      </xdr:nvSpPr>
      <xdr:spPr bwMode="auto">
        <a:xfrm>
          <a:off x="0" y="8077200"/>
          <a:ext cx="2921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69</xdr:row>
      <xdr:rowOff>0</xdr:rowOff>
    </xdr:from>
    <xdr:ext cx="292100" cy="177800"/>
    <xdr:sp macro="" textlink="">
      <xdr:nvSpPr>
        <xdr:cNvPr id="29827" name="AutoShape 35" descr="Germany">
          <a:hlinkClick xmlns:r="http://schemas.openxmlformats.org/officeDocument/2006/relationships" r:id="rId21" tooltip="Germany"/>
          <a:extLst>
            <a:ext uri="{FF2B5EF4-FFF2-40B4-BE49-F238E27FC236}">
              <a16:creationId xmlns:a16="http://schemas.microsoft.com/office/drawing/2014/main" id="{6D6EE859-ED9B-B446-B962-EC3E6768A5DB}"/>
            </a:ext>
          </a:extLst>
        </xdr:cNvPr>
        <xdr:cNvSpPr>
          <a:spLocks noChangeAspect="1" noChangeArrowheads="1"/>
        </xdr:cNvSpPr>
      </xdr:nvSpPr>
      <xdr:spPr bwMode="auto">
        <a:xfrm>
          <a:off x="0" y="8305800"/>
          <a:ext cx="292100" cy="177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70</xdr:row>
      <xdr:rowOff>0</xdr:rowOff>
    </xdr:from>
    <xdr:ext cx="292100" cy="190500"/>
    <xdr:sp macro="" textlink="">
      <xdr:nvSpPr>
        <xdr:cNvPr id="29828" name="AutoShape 36" descr="France">
          <a:hlinkClick xmlns:r="http://schemas.openxmlformats.org/officeDocument/2006/relationships" r:id="rId22" tooltip="France"/>
          <a:extLst>
            <a:ext uri="{FF2B5EF4-FFF2-40B4-BE49-F238E27FC236}">
              <a16:creationId xmlns:a16="http://schemas.microsoft.com/office/drawing/2014/main" id="{E7A58950-A933-1B47-ABEE-4FE71386DEEB}"/>
            </a:ext>
          </a:extLst>
        </xdr:cNvPr>
        <xdr:cNvSpPr>
          <a:spLocks noChangeAspect="1" noChangeArrowheads="1"/>
        </xdr:cNvSpPr>
      </xdr:nvSpPr>
      <xdr:spPr bwMode="auto">
        <a:xfrm>
          <a:off x="0" y="8534400"/>
          <a:ext cx="2921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71</xdr:row>
      <xdr:rowOff>0</xdr:rowOff>
    </xdr:from>
    <xdr:ext cx="292100" cy="152400"/>
    <xdr:sp macro="" textlink="">
      <xdr:nvSpPr>
        <xdr:cNvPr id="29829" name="AutoShape 37" descr="United Kingdom">
          <a:hlinkClick xmlns:r="http://schemas.openxmlformats.org/officeDocument/2006/relationships" r:id="rId8" tooltip="United Kingdom"/>
          <a:extLst>
            <a:ext uri="{FF2B5EF4-FFF2-40B4-BE49-F238E27FC236}">
              <a16:creationId xmlns:a16="http://schemas.microsoft.com/office/drawing/2014/main" id="{98051EDE-3287-5B46-B016-37A49F7EBE93}"/>
            </a:ext>
          </a:extLst>
        </xdr:cNvPr>
        <xdr:cNvSpPr>
          <a:spLocks noChangeAspect="1" noChangeArrowheads="1"/>
        </xdr:cNvSpPr>
      </xdr:nvSpPr>
      <xdr:spPr bwMode="auto">
        <a:xfrm>
          <a:off x="0" y="8763000"/>
          <a:ext cx="2921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72</xdr:row>
      <xdr:rowOff>0</xdr:rowOff>
    </xdr:from>
    <xdr:ext cx="292100" cy="152400"/>
    <xdr:sp macro="" textlink="">
      <xdr:nvSpPr>
        <xdr:cNvPr id="29830" name="AutoShape 38" descr="New Zealand">
          <a:hlinkClick xmlns:r="http://schemas.openxmlformats.org/officeDocument/2006/relationships" r:id="rId23" tooltip="New Zealand"/>
          <a:extLst>
            <a:ext uri="{FF2B5EF4-FFF2-40B4-BE49-F238E27FC236}">
              <a16:creationId xmlns:a16="http://schemas.microsoft.com/office/drawing/2014/main" id="{34AB4077-2A78-CC41-9B2E-C261C52AFB72}"/>
            </a:ext>
          </a:extLst>
        </xdr:cNvPr>
        <xdr:cNvSpPr>
          <a:spLocks noChangeAspect="1" noChangeArrowheads="1"/>
        </xdr:cNvSpPr>
      </xdr:nvSpPr>
      <xdr:spPr bwMode="auto">
        <a:xfrm>
          <a:off x="0" y="8991600"/>
          <a:ext cx="2921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73</xdr:row>
      <xdr:rowOff>0</xdr:rowOff>
    </xdr:from>
    <xdr:ext cx="292100" cy="190500"/>
    <xdr:sp macro="" textlink="">
      <xdr:nvSpPr>
        <xdr:cNvPr id="29831" name="AutoShape 39" descr="France">
          <a:hlinkClick xmlns:r="http://schemas.openxmlformats.org/officeDocument/2006/relationships" r:id="rId22" tooltip="France"/>
          <a:extLst>
            <a:ext uri="{FF2B5EF4-FFF2-40B4-BE49-F238E27FC236}">
              <a16:creationId xmlns:a16="http://schemas.microsoft.com/office/drawing/2014/main" id="{C1581306-98B1-124C-BF8F-B393E49274C1}"/>
            </a:ext>
          </a:extLst>
        </xdr:cNvPr>
        <xdr:cNvSpPr>
          <a:spLocks noChangeAspect="1" noChangeArrowheads="1"/>
        </xdr:cNvSpPr>
      </xdr:nvSpPr>
      <xdr:spPr bwMode="auto">
        <a:xfrm>
          <a:off x="0" y="9220200"/>
          <a:ext cx="2921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74</xdr:row>
      <xdr:rowOff>0</xdr:rowOff>
    </xdr:from>
    <xdr:ext cx="292100" cy="152400"/>
    <xdr:sp macro="" textlink="">
      <xdr:nvSpPr>
        <xdr:cNvPr id="29832" name="AutoShape 40" descr="Canada">
          <a:hlinkClick xmlns:r="http://schemas.openxmlformats.org/officeDocument/2006/relationships" r:id="rId6" tooltip="Canada"/>
          <a:extLst>
            <a:ext uri="{FF2B5EF4-FFF2-40B4-BE49-F238E27FC236}">
              <a16:creationId xmlns:a16="http://schemas.microsoft.com/office/drawing/2014/main" id="{2E4857E4-0FCF-D349-82E0-347077CB43BE}"/>
            </a:ext>
          </a:extLst>
        </xdr:cNvPr>
        <xdr:cNvSpPr>
          <a:spLocks noChangeAspect="1" noChangeArrowheads="1"/>
        </xdr:cNvSpPr>
      </xdr:nvSpPr>
      <xdr:spPr bwMode="auto">
        <a:xfrm>
          <a:off x="0" y="9448800"/>
          <a:ext cx="2921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75</xdr:row>
      <xdr:rowOff>0</xdr:rowOff>
    </xdr:from>
    <xdr:ext cx="292100" cy="190500"/>
    <xdr:pic>
      <xdr:nvPicPr>
        <xdr:cNvPr id="29833" name="Picture 29832" descr="Japan">
          <a:hlinkClick xmlns:r="http://schemas.openxmlformats.org/officeDocument/2006/relationships" r:id="rId24" tooltip="Japan"/>
          <a:extLst>
            <a:ext uri="{FF2B5EF4-FFF2-40B4-BE49-F238E27FC236}">
              <a16:creationId xmlns:a16="http://schemas.microsoft.com/office/drawing/2014/main" id="{35D09370-5B69-1F4D-B0A0-8422C5BDCC68}"/>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0" y="9677400"/>
          <a:ext cx="292100" cy="1905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76</xdr:row>
      <xdr:rowOff>0</xdr:rowOff>
    </xdr:from>
    <xdr:ext cx="292100" cy="190500"/>
    <xdr:sp macro="" textlink="">
      <xdr:nvSpPr>
        <xdr:cNvPr id="29834" name="AutoShape 42" descr="France">
          <a:hlinkClick xmlns:r="http://schemas.openxmlformats.org/officeDocument/2006/relationships" r:id="rId22" tooltip="France"/>
          <a:extLst>
            <a:ext uri="{FF2B5EF4-FFF2-40B4-BE49-F238E27FC236}">
              <a16:creationId xmlns:a16="http://schemas.microsoft.com/office/drawing/2014/main" id="{326C5BB0-EC9B-7E47-8AD3-B94F3BF222EA}"/>
            </a:ext>
          </a:extLst>
        </xdr:cNvPr>
        <xdr:cNvSpPr>
          <a:spLocks noChangeAspect="1" noChangeArrowheads="1"/>
        </xdr:cNvSpPr>
      </xdr:nvSpPr>
      <xdr:spPr bwMode="auto">
        <a:xfrm>
          <a:off x="0" y="9906000"/>
          <a:ext cx="2921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279400" cy="190500"/>
    <xdr:sp macro="" textlink="">
      <xdr:nvSpPr>
        <xdr:cNvPr id="29835" name="AutoShape 43" descr="Brazil">
          <a:hlinkClick xmlns:r="http://schemas.openxmlformats.org/officeDocument/2006/relationships" r:id="rId15" tooltip="Brazil"/>
          <a:extLst>
            <a:ext uri="{FF2B5EF4-FFF2-40B4-BE49-F238E27FC236}">
              <a16:creationId xmlns:a16="http://schemas.microsoft.com/office/drawing/2014/main" id="{DBE4D8C6-BFD8-E34A-A996-F29DA2255565}"/>
            </a:ext>
          </a:extLst>
        </xdr:cNvPr>
        <xdr:cNvSpPr>
          <a:spLocks noChangeAspect="1" noChangeArrowheads="1"/>
        </xdr:cNvSpPr>
      </xdr:nvSpPr>
      <xdr:spPr bwMode="auto">
        <a:xfrm>
          <a:off x="0" y="10134600"/>
          <a:ext cx="2794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78</xdr:row>
      <xdr:rowOff>0</xdr:rowOff>
    </xdr:from>
    <xdr:ext cx="292100" cy="177800"/>
    <xdr:sp macro="" textlink="">
      <xdr:nvSpPr>
        <xdr:cNvPr id="29836" name="AutoShape 44" descr="Argentina">
          <a:hlinkClick xmlns:r="http://schemas.openxmlformats.org/officeDocument/2006/relationships" r:id="rId26" tooltip="Argentina"/>
          <a:extLst>
            <a:ext uri="{FF2B5EF4-FFF2-40B4-BE49-F238E27FC236}">
              <a16:creationId xmlns:a16="http://schemas.microsoft.com/office/drawing/2014/main" id="{DA054605-D2AA-B949-992A-E3D7A7A1E736}"/>
            </a:ext>
          </a:extLst>
        </xdr:cNvPr>
        <xdr:cNvSpPr>
          <a:spLocks noChangeAspect="1" noChangeArrowheads="1"/>
        </xdr:cNvSpPr>
      </xdr:nvSpPr>
      <xdr:spPr bwMode="auto">
        <a:xfrm>
          <a:off x="0" y="10363200"/>
          <a:ext cx="292100" cy="177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79</xdr:row>
      <xdr:rowOff>0</xdr:rowOff>
    </xdr:from>
    <xdr:ext cx="292100" cy="152400"/>
    <xdr:pic>
      <xdr:nvPicPr>
        <xdr:cNvPr id="29837" name="Picture 29836" descr="Australia">
          <a:hlinkClick xmlns:r="http://schemas.openxmlformats.org/officeDocument/2006/relationships" r:id="rId18" tooltip="Australia"/>
          <a:extLst>
            <a:ext uri="{FF2B5EF4-FFF2-40B4-BE49-F238E27FC236}">
              <a16:creationId xmlns:a16="http://schemas.microsoft.com/office/drawing/2014/main" id="{E46BE15B-E934-2445-BFE3-3E1D46CE43F4}"/>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0" y="10591800"/>
          <a:ext cx="292100" cy="1524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xdr:col>
      <xdr:colOff>0</xdr:colOff>
      <xdr:row>59</xdr:row>
      <xdr:rowOff>0</xdr:rowOff>
    </xdr:from>
    <xdr:ext cx="292100" cy="190500"/>
    <xdr:sp macro="" textlink="">
      <xdr:nvSpPr>
        <xdr:cNvPr id="29838" name="AutoShape 5" descr="Saudi Arabia">
          <a:hlinkClick xmlns:r="http://schemas.openxmlformats.org/officeDocument/2006/relationships" r:id="rId1" tooltip="Saudi Arabia"/>
          <a:extLst>
            <a:ext uri="{FF2B5EF4-FFF2-40B4-BE49-F238E27FC236}">
              <a16:creationId xmlns:a16="http://schemas.microsoft.com/office/drawing/2014/main" id="{E04C3FDA-DE6A-9547-A5AD-26E1F0BC8FAF}"/>
            </a:ext>
          </a:extLst>
        </xdr:cNvPr>
        <xdr:cNvSpPr>
          <a:spLocks noChangeAspect="1" noChangeArrowheads="1"/>
        </xdr:cNvSpPr>
      </xdr:nvSpPr>
      <xdr:spPr bwMode="auto">
        <a:xfrm>
          <a:off x="5397500" y="6019800"/>
          <a:ext cx="2921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59</xdr:row>
      <xdr:rowOff>0</xdr:rowOff>
    </xdr:from>
    <xdr:ext cx="292100" cy="152400"/>
    <xdr:sp macro="" textlink="">
      <xdr:nvSpPr>
        <xdr:cNvPr id="29839" name="AutoShape 6" descr="United States">
          <a:hlinkClick xmlns:r="http://schemas.openxmlformats.org/officeDocument/2006/relationships" r:id="rId2" tooltip="United States"/>
          <a:extLst>
            <a:ext uri="{FF2B5EF4-FFF2-40B4-BE49-F238E27FC236}">
              <a16:creationId xmlns:a16="http://schemas.microsoft.com/office/drawing/2014/main" id="{BBE7757A-2616-DC4C-8197-79F40560FFD4}"/>
            </a:ext>
          </a:extLst>
        </xdr:cNvPr>
        <xdr:cNvSpPr>
          <a:spLocks noChangeAspect="1" noChangeArrowheads="1"/>
        </xdr:cNvSpPr>
      </xdr:nvSpPr>
      <xdr:spPr bwMode="auto">
        <a:xfrm>
          <a:off x="6223000" y="6019800"/>
          <a:ext cx="2921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59</xdr:row>
      <xdr:rowOff>0</xdr:rowOff>
    </xdr:from>
    <xdr:ext cx="292100" cy="190500"/>
    <xdr:sp macro="" textlink="">
      <xdr:nvSpPr>
        <xdr:cNvPr id="29840" name="AutoShape 7" descr="Italy">
          <a:hlinkClick xmlns:r="http://schemas.openxmlformats.org/officeDocument/2006/relationships" r:id="rId3" tooltip="Italy"/>
          <a:extLst>
            <a:ext uri="{FF2B5EF4-FFF2-40B4-BE49-F238E27FC236}">
              <a16:creationId xmlns:a16="http://schemas.microsoft.com/office/drawing/2014/main" id="{0996970F-836D-0E4E-ADEB-2E9CD53E46A1}"/>
            </a:ext>
          </a:extLst>
        </xdr:cNvPr>
        <xdr:cNvSpPr>
          <a:spLocks noChangeAspect="1" noChangeArrowheads="1"/>
        </xdr:cNvSpPr>
      </xdr:nvSpPr>
      <xdr:spPr bwMode="auto">
        <a:xfrm>
          <a:off x="7048500" y="6019800"/>
          <a:ext cx="2921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59</xdr:row>
      <xdr:rowOff>0</xdr:rowOff>
    </xdr:from>
    <xdr:ext cx="241300" cy="190500"/>
    <xdr:sp macro="" textlink="">
      <xdr:nvSpPr>
        <xdr:cNvPr id="29841" name="AutoShape 8" descr="Monaco">
          <a:hlinkClick xmlns:r="http://schemas.openxmlformats.org/officeDocument/2006/relationships" r:id="rId4" tooltip="Monaco"/>
          <a:extLst>
            <a:ext uri="{FF2B5EF4-FFF2-40B4-BE49-F238E27FC236}">
              <a16:creationId xmlns:a16="http://schemas.microsoft.com/office/drawing/2014/main" id="{268DB438-0124-B044-B643-A50F12BEA08D}"/>
            </a:ext>
          </a:extLst>
        </xdr:cNvPr>
        <xdr:cNvSpPr>
          <a:spLocks noChangeAspect="1" noChangeArrowheads="1"/>
        </xdr:cNvSpPr>
      </xdr:nvSpPr>
      <xdr:spPr bwMode="auto">
        <a:xfrm>
          <a:off x="7874000" y="6019800"/>
          <a:ext cx="2413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9</xdr:col>
      <xdr:colOff>0</xdr:colOff>
      <xdr:row>59</xdr:row>
      <xdr:rowOff>0</xdr:rowOff>
    </xdr:from>
    <xdr:ext cx="292100" cy="190500"/>
    <xdr:sp macro="" textlink="">
      <xdr:nvSpPr>
        <xdr:cNvPr id="29842" name="AutoShape 9" descr="Spain">
          <a:hlinkClick xmlns:r="http://schemas.openxmlformats.org/officeDocument/2006/relationships" r:id="rId5" tooltip="Spain"/>
          <a:extLst>
            <a:ext uri="{FF2B5EF4-FFF2-40B4-BE49-F238E27FC236}">
              <a16:creationId xmlns:a16="http://schemas.microsoft.com/office/drawing/2014/main" id="{CF384150-9AF7-F847-BF84-76106BB78D93}"/>
            </a:ext>
          </a:extLst>
        </xdr:cNvPr>
        <xdr:cNvSpPr>
          <a:spLocks noChangeAspect="1" noChangeArrowheads="1"/>
        </xdr:cNvSpPr>
      </xdr:nvSpPr>
      <xdr:spPr bwMode="auto">
        <a:xfrm>
          <a:off x="8699500" y="6019800"/>
          <a:ext cx="2921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10</xdr:col>
      <xdr:colOff>0</xdr:colOff>
      <xdr:row>59</xdr:row>
      <xdr:rowOff>0</xdr:rowOff>
    </xdr:from>
    <xdr:ext cx="292100" cy="152400"/>
    <xdr:sp macro="" textlink="">
      <xdr:nvSpPr>
        <xdr:cNvPr id="29843" name="AutoShape 10" descr="Canada">
          <a:hlinkClick xmlns:r="http://schemas.openxmlformats.org/officeDocument/2006/relationships" r:id="rId6" tooltip="Canada"/>
          <a:extLst>
            <a:ext uri="{FF2B5EF4-FFF2-40B4-BE49-F238E27FC236}">
              <a16:creationId xmlns:a16="http://schemas.microsoft.com/office/drawing/2014/main" id="{4F81B0F7-C541-A446-A4B5-362D1EACDAA2}"/>
            </a:ext>
          </a:extLst>
        </xdr:cNvPr>
        <xdr:cNvSpPr>
          <a:spLocks noChangeAspect="1" noChangeArrowheads="1"/>
        </xdr:cNvSpPr>
      </xdr:nvSpPr>
      <xdr:spPr bwMode="auto">
        <a:xfrm>
          <a:off x="9525000" y="6019800"/>
          <a:ext cx="2921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59</xdr:row>
      <xdr:rowOff>0</xdr:rowOff>
    </xdr:from>
    <xdr:ext cx="292100" cy="190500"/>
    <xdr:sp macro="" textlink="">
      <xdr:nvSpPr>
        <xdr:cNvPr id="29844" name="AutoShape 11" descr="Austria">
          <a:hlinkClick xmlns:r="http://schemas.openxmlformats.org/officeDocument/2006/relationships" r:id="rId7" tooltip="Austria"/>
          <a:extLst>
            <a:ext uri="{FF2B5EF4-FFF2-40B4-BE49-F238E27FC236}">
              <a16:creationId xmlns:a16="http://schemas.microsoft.com/office/drawing/2014/main" id="{3D19CD46-B835-0A41-AD54-1316D42B6206}"/>
            </a:ext>
          </a:extLst>
        </xdr:cNvPr>
        <xdr:cNvSpPr>
          <a:spLocks noChangeAspect="1" noChangeArrowheads="1"/>
        </xdr:cNvSpPr>
      </xdr:nvSpPr>
      <xdr:spPr bwMode="auto">
        <a:xfrm>
          <a:off x="10350500" y="6019800"/>
          <a:ext cx="2921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59</xdr:row>
      <xdr:rowOff>0</xdr:rowOff>
    </xdr:from>
    <xdr:ext cx="292100" cy="152400"/>
    <xdr:sp macro="" textlink="">
      <xdr:nvSpPr>
        <xdr:cNvPr id="29845" name="AutoShape 12" descr="United Kingdom">
          <a:hlinkClick xmlns:r="http://schemas.openxmlformats.org/officeDocument/2006/relationships" r:id="rId8" tooltip="United Kingdom"/>
          <a:extLst>
            <a:ext uri="{FF2B5EF4-FFF2-40B4-BE49-F238E27FC236}">
              <a16:creationId xmlns:a16="http://schemas.microsoft.com/office/drawing/2014/main" id="{6F12180C-2B1F-614D-B1B4-F88614BDF5DB}"/>
            </a:ext>
          </a:extLst>
        </xdr:cNvPr>
        <xdr:cNvSpPr>
          <a:spLocks noChangeAspect="1" noChangeArrowheads="1"/>
        </xdr:cNvSpPr>
      </xdr:nvSpPr>
      <xdr:spPr bwMode="auto">
        <a:xfrm>
          <a:off x="11176000" y="6019800"/>
          <a:ext cx="2921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13</xdr:col>
      <xdr:colOff>0</xdr:colOff>
      <xdr:row>59</xdr:row>
      <xdr:rowOff>0</xdr:rowOff>
    </xdr:from>
    <xdr:ext cx="292100" cy="190500"/>
    <xdr:sp macro="" textlink="">
      <xdr:nvSpPr>
        <xdr:cNvPr id="29846" name="AutoShape 13" descr="Belgium">
          <a:hlinkClick xmlns:r="http://schemas.openxmlformats.org/officeDocument/2006/relationships" r:id="rId9" tooltip="Belgium"/>
          <a:extLst>
            <a:ext uri="{FF2B5EF4-FFF2-40B4-BE49-F238E27FC236}">
              <a16:creationId xmlns:a16="http://schemas.microsoft.com/office/drawing/2014/main" id="{83302996-189E-F340-A823-F63D27C4DDF0}"/>
            </a:ext>
          </a:extLst>
        </xdr:cNvPr>
        <xdr:cNvSpPr>
          <a:spLocks noChangeAspect="1" noChangeArrowheads="1"/>
        </xdr:cNvSpPr>
      </xdr:nvSpPr>
      <xdr:spPr bwMode="auto">
        <a:xfrm>
          <a:off x="12001500" y="6019800"/>
          <a:ext cx="2921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14</xdr:col>
      <xdr:colOff>0</xdr:colOff>
      <xdr:row>59</xdr:row>
      <xdr:rowOff>0</xdr:rowOff>
    </xdr:from>
    <xdr:ext cx="292100" cy="152400"/>
    <xdr:sp macro="" textlink="">
      <xdr:nvSpPr>
        <xdr:cNvPr id="29847" name="AutoShape 14" descr="Hungary">
          <a:hlinkClick xmlns:r="http://schemas.openxmlformats.org/officeDocument/2006/relationships" r:id="rId10" tooltip="Hungary"/>
          <a:extLst>
            <a:ext uri="{FF2B5EF4-FFF2-40B4-BE49-F238E27FC236}">
              <a16:creationId xmlns:a16="http://schemas.microsoft.com/office/drawing/2014/main" id="{D95AE604-660D-F741-9E9D-CB8997E34B6B}"/>
            </a:ext>
          </a:extLst>
        </xdr:cNvPr>
        <xdr:cNvSpPr>
          <a:spLocks noChangeAspect="1" noChangeArrowheads="1"/>
        </xdr:cNvSpPr>
      </xdr:nvSpPr>
      <xdr:spPr bwMode="auto">
        <a:xfrm>
          <a:off x="12827000" y="6019800"/>
          <a:ext cx="2921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59</xdr:row>
      <xdr:rowOff>0</xdr:rowOff>
    </xdr:from>
    <xdr:ext cx="292100" cy="190500"/>
    <xdr:sp macro="" textlink="">
      <xdr:nvSpPr>
        <xdr:cNvPr id="29848" name="AutoShape 15" descr="Netherlands">
          <a:hlinkClick xmlns:r="http://schemas.openxmlformats.org/officeDocument/2006/relationships" r:id="rId11" tooltip="Netherlands"/>
          <a:extLst>
            <a:ext uri="{FF2B5EF4-FFF2-40B4-BE49-F238E27FC236}">
              <a16:creationId xmlns:a16="http://schemas.microsoft.com/office/drawing/2014/main" id="{52840CC1-59E6-5F45-990A-EDD41D8A9359}"/>
            </a:ext>
          </a:extLst>
        </xdr:cNvPr>
        <xdr:cNvSpPr>
          <a:spLocks noChangeAspect="1" noChangeArrowheads="1"/>
        </xdr:cNvSpPr>
      </xdr:nvSpPr>
      <xdr:spPr bwMode="auto">
        <a:xfrm>
          <a:off x="13652500" y="6019800"/>
          <a:ext cx="2921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16</xdr:col>
      <xdr:colOff>0</xdr:colOff>
      <xdr:row>59</xdr:row>
      <xdr:rowOff>0</xdr:rowOff>
    </xdr:from>
    <xdr:ext cx="292100" cy="190500"/>
    <xdr:sp macro="" textlink="">
      <xdr:nvSpPr>
        <xdr:cNvPr id="29849" name="AutoShape 16" descr="Italy">
          <a:hlinkClick xmlns:r="http://schemas.openxmlformats.org/officeDocument/2006/relationships" r:id="rId3" tooltip="Italy"/>
          <a:extLst>
            <a:ext uri="{FF2B5EF4-FFF2-40B4-BE49-F238E27FC236}">
              <a16:creationId xmlns:a16="http://schemas.microsoft.com/office/drawing/2014/main" id="{0FFA62AC-5475-5C47-90E6-F5CCCA3257C8}"/>
            </a:ext>
          </a:extLst>
        </xdr:cNvPr>
        <xdr:cNvSpPr>
          <a:spLocks noChangeAspect="1" noChangeArrowheads="1"/>
        </xdr:cNvSpPr>
      </xdr:nvSpPr>
      <xdr:spPr bwMode="auto">
        <a:xfrm>
          <a:off x="14478000" y="6019800"/>
          <a:ext cx="2921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17</xdr:col>
      <xdr:colOff>0</xdr:colOff>
      <xdr:row>59</xdr:row>
      <xdr:rowOff>0</xdr:rowOff>
    </xdr:from>
    <xdr:ext cx="292100" cy="152400"/>
    <xdr:sp macro="" textlink="">
      <xdr:nvSpPr>
        <xdr:cNvPr id="29850" name="AutoShape 17" descr="Azerbaijan">
          <a:hlinkClick xmlns:r="http://schemas.openxmlformats.org/officeDocument/2006/relationships" r:id="rId12" tooltip="Azerbaijan"/>
          <a:extLst>
            <a:ext uri="{FF2B5EF4-FFF2-40B4-BE49-F238E27FC236}">
              <a16:creationId xmlns:a16="http://schemas.microsoft.com/office/drawing/2014/main" id="{19F609E4-398F-CC4B-BD51-9E41C211E1F2}"/>
            </a:ext>
          </a:extLst>
        </xdr:cNvPr>
        <xdr:cNvSpPr>
          <a:spLocks noChangeAspect="1" noChangeArrowheads="1"/>
        </xdr:cNvSpPr>
      </xdr:nvSpPr>
      <xdr:spPr bwMode="auto">
        <a:xfrm>
          <a:off x="15303500" y="6019800"/>
          <a:ext cx="2921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18</xdr:col>
      <xdr:colOff>0</xdr:colOff>
      <xdr:row>59</xdr:row>
      <xdr:rowOff>0</xdr:rowOff>
    </xdr:from>
    <xdr:ext cx="292100" cy="190500"/>
    <xdr:sp macro="" textlink="">
      <xdr:nvSpPr>
        <xdr:cNvPr id="29851" name="AutoShape 18" descr="Singapore">
          <a:hlinkClick xmlns:r="http://schemas.openxmlformats.org/officeDocument/2006/relationships" r:id="rId13" tooltip="Singapore"/>
          <a:extLst>
            <a:ext uri="{FF2B5EF4-FFF2-40B4-BE49-F238E27FC236}">
              <a16:creationId xmlns:a16="http://schemas.microsoft.com/office/drawing/2014/main" id="{BBBAF09A-916B-544F-884A-7D28F60802B3}"/>
            </a:ext>
          </a:extLst>
        </xdr:cNvPr>
        <xdr:cNvSpPr>
          <a:spLocks noChangeAspect="1" noChangeArrowheads="1"/>
        </xdr:cNvSpPr>
      </xdr:nvSpPr>
      <xdr:spPr bwMode="auto">
        <a:xfrm>
          <a:off x="16129000" y="6019800"/>
          <a:ext cx="2921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19</xdr:col>
      <xdr:colOff>0</xdr:colOff>
      <xdr:row>59</xdr:row>
      <xdr:rowOff>0</xdr:rowOff>
    </xdr:from>
    <xdr:ext cx="292100" cy="152400"/>
    <xdr:sp macro="" textlink="">
      <xdr:nvSpPr>
        <xdr:cNvPr id="29852" name="AutoShape 19" descr="United States">
          <a:hlinkClick xmlns:r="http://schemas.openxmlformats.org/officeDocument/2006/relationships" r:id="rId2" tooltip="United States"/>
          <a:extLst>
            <a:ext uri="{FF2B5EF4-FFF2-40B4-BE49-F238E27FC236}">
              <a16:creationId xmlns:a16="http://schemas.microsoft.com/office/drawing/2014/main" id="{CC18E3AC-7103-0243-9F7F-0E84A3609E5B}"/>
            </a:ext>
          </a:extLst>
        </xdr:cNvPr>
        <xdr:cNvSpPr>
          <a:spLocks noChangeAspect="1" noChangeArrowheads="1"/>
        </xdr:cNvSpPr>
      </xdr:nvSpPr>
      <xdr:spPr bwMode="auto">
        <a:xfrm>
          <a:off x="16954500" y="6019800"/>
          <a:ext cx="2921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20</xdr:col>
      <xdr:colOff>0</xdr:colOff>
      <xdr:row>59</xdr:row>
      <xdr:rowOff>0</xdr:rowOff>
    </xdr:from>
    <xdr:ext cx="292100" cy="165100"/>
    <xdr:sp macro="" textlink="">
      <xdr:nvSpPr>
        <xdr:cNvPr id="29853" name="AutoShape 20" descr="Mexico">
          <a:hlinkClick xmlns:r="http://schemas.openxmlformats.org/officeDocument/2006/relationships" r:id="rId14" tooltip="Mexico"/>
          <a:extLst>
            <a:ext uri="{FF2B5EF4-FFF2-40B4-BE49-F238E27FC236}">
              <a16:creationId xmlns:a16="http://schemas.microsoft.com/office/drawing/2014/main" id="{7BE6179B-610A-FB4B-9A63-8627291C0B0A}"/>
            </a:ext>
          </a:extLst>
        </xdr:cNvPr>
        <xdr:cNvSpPr>
          <a:spLocks noChangeAspect="1" noChangeArrowheads="1"/>
        </xdr:cNvSpPr>
      </xdr:nvSpPr>
      <xdr:spPr bwMode="auto">
        <a:xfrm>
          <a:off x="17818100" y="6019800"/>
          <a:ext cx="292100" cy="165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21</xdr:col>
      <xdr:colOff>0</xdr:colOff>
      <xdr:row>59</xdr:row>
      <xdr:rowOff>0</xdr:rowOff>
    </xdr:from>
    <xdr:ext cx="279400" cy="190500"/>
    <xdr:sp macro="" textlink="">
      <xdr:nvSpPr>
        <xdr:cNvPr id="29854" name="AutoShape 21" descr="Brazil">
          <a:hlinkClick xmlns:r="http://schemas.openxmlformats.org/officeDocument/2006/relationships" r:id="rId15" tooltip="Brazil"/>
          <a:extLst>
            <a:ext uri="{FF2B5EF4-FFF2-40B4-BE49-F238E27FC236}">
              <a16:creationId xmlns:a16="http://schemas.microsoft.com/office/drawing/2014/main" id="{CC2FC4DD-983D-A04D-A5A5-75A93BA3DD60}"/>
            </a:ext>
          </a:extLst>
        </xdr:cNvPr>
        <xdr:cNvSpPr>
          <a:spLocks noChangeAspect="1" noChangeArrowheads="1"/>
        </xdr:cNvSpPr>
      </xdr:nvSpPr>
      <xdr:spPr bwMode="auto">
        <a:xfrm>
          <a:off x="18643600" y="6019800"/>
          <a:ext cx="2794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22</xdr:col>
      <xdr:colOff>0</xdr:colOff>
      <xdr:row>59</xdr:row>
      <xdr:rowOff>0</xdr:rowOff>
    </xdr:from>
    <xdr:ext cx="292100" cy="152400"/>
    <xdr:sp macro="" textlink="">
      <xdr:nvSpPr>
        <xdr:cNvPr id="29855" name="AutoShape 22" descr="United States">
          <a:hlinkClick xmlns:r="http://schemas.openxmlformats.org/officeDocument/2006/relationships" r:id="rId2" tooltip="United States"/>
          <a:extLst>
            <a:ext uri="{FF2B5EF4-FFF2-40B4-BE49-F238E27FC236}">
              <a16:creationId xmlns:a16="http://schemas.microsoft.com/office/drawing/2014/main" id="{4B0642E5-DCAA-344A-BAE7-288E1AE3C750}"/>
            </a:ext>
          </a:extLst>
        </xdr:cNvPr>
        <xdr:cNvSpPr>
          <a:spLocks noChangeAspect="1" noChangeArrowheads="1"/>
        </xdr:cNvSpPr>
      </xdr:nvSpPr>
      <xdr:spPr bwMode="auto">
        <a:xfrm>
          <a:off x="19469100" y="6019800"/>
          <a:ext cx="2921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23</xdr:col>
      <xdr:colOff>0</xdr:colOff>
      <xdr:row>59</xdr:row>
      <xdr:rowOff>0</xdr:rowOff>
    </xdr:from>
    <xdr:ext cx="292100" cy="114300"/>
    <xdr:sp macro="" textlink="">
      <xdr:nvSpPr>
        <xdr:cNvPr id="29856" name="AutoShape 23" descr="Qatar">
          <a:hlinkClick xmlns:r="http://schemas.openxmlformats.org/officeDocument/2006/relationships" r:id="rId16" tooltip="Qatar"/>
          <a:extLst>
            <a:ext uri="{FF2B5EF4-FFF2-40B4-BE49-F238E27FC236}">
              <a16:creationId xmlns:a16="http://schemas.microsoft.com/office/drawing/2014/main" id="{323A6C74-6422-4B47-992C-459042029B63}"/>
            </a:ext>
          </a:extLst>
        </xdr:cNvPr>
        <xdr:cNvSpPr>
          <a:spLocks noChangeAspect="1" noChangeArrowheads="1"/>
        </xdr:cNvSpPr>
      </xdr:nvSpPr>
      <xdr:spPr bwMode="auto">
        <a:xfrm>
          <a:off x="20294600" y="6019800"/>
          <a:ext cx="292100" cy="1143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xdr:col>
      <xdr:colOff>0</xdr:colOff>
      <xdr:row>28</xdr:row>
      <xdr:rowOff>0</xdr:rowOff>
    </xdr:from>
    <xdr:ext cx="292100" cy="190500"/>
    <xdr:sp macro="" textlink="">
      <xdr:nvSpPr>
        <xdr:cNvPr id="29857" name="AutoShape 5" descr="Saudi Arabia">
          <a:hlinkClick xmlns:r="http://schemas.openxmlformats.org/officeDocument/2006/relationships" r:id="rId1" tooltip="Saudi Arabia"/>
          <a:extLst>
            <a:ext uri="{FF2B5EF4-FFF2-40B4-BE49-F238E27FC236}">
              <a16:creationId xmlns:a16="http://schemas.microsoft.com/office/drawing/2014/main" id="{B8E53128-FE9A-BE4A-AF63-AA5F8DF145D4}"/>
            </a:ext>
          </a:extLst>
        </xdr:cNvPr>
        <xdr:cNvSpPr>
          <a:spLocks noChangeAspect="1" noChangeArrowheads="1"/>
        </xdr:cNvSpPr>
      </xdr:nvSpPr>
      <xdr:spPr bwMode="auto">
        <a:xfrm>
          <a:off x="5486400" y="6108700"/>
          <a:ext cx="2921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xdr:col>
      <xdr:colOff>0</xdr:colOff>
      <xdr:row>29</xdr:row>
      <xdr:rowOff>0</xdr:rowOff>
    </xdr:from>
    <xdr:ext cx="292100" cy="190500"/>
    <xdr:sp macro="" textlink="">
      <xdr:nvSpPr>
        <xdr:cNvPr id="29858" name="AutoShape 5" descr="Saudi Arabia">
          <a:hlinkClick xmlns:r="http://schemas.openxmlformats.org/officeDocument/2006/relationships" r:id="rId1" tooltip="Saudi Arabia"/>
          <a:extLst>
            <a:ext uri="{FF2B5EF4-FFF2-40B4-BE49-F238E27FC236}">
              <a16:creationId xmlns:a16="http://schemas.microsoft.com/office/drawing/2014/main" id="{5EB184EF-5A27-B34F-A87D-4FA1C1733D7A}"/>
            </a:ext>
          </a:extLst>
        </xdr:cNvPr>
        <xdr:cNvSpPr>
          <a:spLocks noChangeAspect="1" noChangeArrowheads="1"/>
        </xdr:cNvSpPr>
      </xdr:nvSpPr>
      <xdr:spPr bwMode="auto">
        <a:xfrm>
          <a:off x="5486400" y="6108700"/>
          <a:ext cx="2921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xdr:col>
      <xdr:colOff>0</xdr:colOff>
      <xdr:row>30</xdr:row>
      <xdr:rowOff>0</xdr:rowOff>
    </xdr:from>
    <xdr:ext cx="292100" cy="190500"/>
    <xdr:sp macro="" textlink="">
      <xdr:nvSpPr>
        <xdr:cNvPr id="29859" name="AutoShape 5" descr="Saudi Arabia">
          <a:hlinkClick xmlns:r="http://schemas.openxmlformats.org/officeDocument/2006/relationships" r:id="rId1" tooltip="Saudi Arabia"/>
          <a:extLst>
            <a:ext uri="{FF2B5EF4-FFF2-40B4-BE49-F238E27FC236}">
              <a16:creationId xmlns:a16="http://schemas.microsoft.com/office/drawing/2014/main" id="{A3252813-21AB-3A45-94F9-E58D929C54D7}"/>
            </a:ext>
          </a:extLst>
        </xdr:cNvPr>
        <xdr:cNvSpPr>
          <a:spLocks noChangeAspect="1" noChangeArrowheads="1"/>
        </xdr:cNvSpPr>
      </xdr:nvSpPr>
      <xdr:spPr bwMode="auto">
        <a:xfrm>
          <a:off x="5486400" y="6108700"/>
          <a:ext cx="2921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xdr:col>
      <xdr:colOff>0</xdr:colOff>
      <xdr:row>31</xdr:row>
      <xdr:rowOff>0</xdr:rowOff>
    </xdr:from>
    <xdr:ext cx="292100" cy="190500"/>
    <xdr:sp macro="" textlink="">
      <xdr:nvSpPr>
        <xdr:cNvPr id="29860" name="AutoShape 5" descr="Saudi Arabia">
          <a:hlinkClick xmlns:r="http://schemas.openxmlformats.org/officeDocument/2006/relationships" r:id="rId1" tooltip="Saudi Arabia"/>
          <a:extLst>
            <a:ext uri="{FF2B5EF4-FFF2-40B4-BE49-F238E27FC236}">
              <a16:creationId xmlns:a16="http://schemas.microsoft.com/office/drawing/2014/main" id="{D497CBBE-2A89-FF40-8145-F4364931FDD8}"/>
            </a:ext>
          </a:extLst>
        </xdr:cNvPr>
        <xdr:cNvSpPr>
          <a:spLocks noChangeAspect="1" noChangeArrowheads="1"/>
        </xdr:cNvSpPr>
      </xdr:nvSpPr>
      <xdr:spPr bwMode="auto">
        <a:xfrm>
          <a:off x="5486400" y="6108700"/>
          <a:ext cx="2921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xdr:col>
      <xdr:colOff>0</xdr:colOff>
      <xdr:row>32</xdr:row>
      <xdr:rowOff>0</xdr:rowOff>
    </xdr:from>
    <xdr:ext cx="292100" cy="190500"/>
    <xdr:sp macro="" textlink="">
      <xdr:nvSpPr>
        <xdr:cNvPr id="29861" name="AutoShape 5" descr="Saudi Arabia">
          <a:hlinkClick xmlns:r="http://schemas.openxmlformats.org/officeDocument/2006/relationships" r:id="rId1" tooltip="Saudi Arabia"/>
          <a:extLst>
            <a:ext uri="{FF2B5EF4-FFF2-40B4-BE49-F238E27FC236}">
              <a16:creationId xmlns:a16="http://schemas.microsoft.com/office/drawing/2014/main" id="{DA0CAA3D-7F5B-2645-986A-9E92DE8C6A64}"/>
            </a:ext>
          </a:extLst>
        </xdr:cNvPr>
        <xdr:cNvSpPr>
          <a:spLocks noChangeAspect="1" noChangeArrowheads="1"/>
        </xdr:cNvSpPr>
      </xdr:nvSpPr>
      <xdr:spPr bwMode="auto">
        <a:xfrm>
          <a:off x="5486400" y="6108700"/>
          <a:ext cx="2921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xdr:col>
      <xdr:colOff>0</xdr:colOff>
      <xdr:row>33</xdr:row>
      <xdr:rowOff>0</xdr:rowOff>
    </xdr:from>
    <xdr:ext cx="292100" cy="190500"/>
    <xdr:sp macro="" textlink="">
      <xdr:nvSpPr>
        <xdr:cNvPr id="29862" name="AutoShape 5" descr="Saudi Arabia">
          <a:hlinkClick xmlns:r="http://schemas.openxmlformats.org/officeDocument/2006/relationships" r:id="rId1" tooltip="Saudi Arabia"/>
          <a:extLst>
            <a:ext uri="{FF2B5EF4-FFF2-40B4-BE49-F238E27FC236}">
              <a16:creationId xmlns:a16="http://schemas.microsoft.com/office/drawing/2014/main" id="{AED994E5-8081-5049-9405-523CD6D8DF73}"/>
            </a:ext>
          </a:extLst>
        </xdr:cNvPr>
        <xdr:cNvSpPr>
          <a:spLocks noChangeAspect="1" noChangeArrowheads="1"/>
        </xdr:cNvSpPr>
      </xdr:nvSpPr>
      <xdr:spPr bwMode="auto">
        <a:xfrm>
          <a:off x="5486400" y="6108700"/>
          <a:ext cx="2921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xdr:col>
      <xdr:colOff>0</xdr:colOff>
      <xdr:row>34</xdr:row>
      <xdr:rowOff>0</xdr:rowOff>
    </xdr:from>
    <xdr:ext cx="292100" cy="190500"/>
    <xdr:sp macro="" textlink="">
      <xdr:nvSpPr>
        <xdr:cNvPr id="29863" name="AutoShape 5" descr="Saudi Arabia">
          <a:hlinkClick xmlns:r="http://schemas.openxmlformats.org/officeDocument/2006/relationships" r:id="rId1" tooltip="Saudi Arabia"/>
          <a:extLst>
            <a:ext uri="{FF2B5EF4-FFF2-40B4-BE49-F238E27FC236}">
              <a16:creationId xmlns:a16="http://schemas.microsoft.com/office/drawing/2014/main" id="{5D1E1534-DCFD-174C-833A-97DAE5E9DB0E}"/>
            </a:ext>
          </a:extLst>
        </xdr:cNvPr>
        <xdr:cNvSpPr>
          <a:spLocks noChangeAspect="1" noChangeArrowheads="1"/>
        </xdr:cNvSpPr>
      </xdr:nvSpPr>
      <xdr:spPr bwMode="auto">
        <a:xfrm>
          <a:off x="5486400" y="6108700"/>
          <a:ext cx="2921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xdr:col>
      <xdr:colOff>0</xdr:colOff>
      <xdr:row>35</xdr:row>
      <xdr:rowOff>0</xdr:rowOff>
    </xdr:from>
    <xdr:ext cx="292100" cy="190500"/>
    <xdr:sp macro="" textlink="">
      <xdr:nvSpPr>
        <xdr:cNvPr id="29864" name="AutoShape 5" descr="Saudi Arabia">
          <a:hlinkClick xmlns:r="http://schemas.openxmlformats.org/officeDocument/2006/relationships" r:id="rId1" tooltip="Saudi Arabia"/>
          <a:extLst>
            <a:ext uri="{FF2B5EF4-FFF2-40B4-BE49-F238E27FC236}">
              <a16:creationId xmlns:a16="http://schemas.microsoft.com/office/drawing/2014/main" id="{DFFFFDD9-E19C-084F-B24E-E0953374B2F3}"/>
            </a:ext>
          </a:extLst>
        </xdr:cNvPr>
        <xdr:cNvSpPr>
          <a:spLocks noChangeAspect="1" noChangeArrowheads="1"/>
        </xdr:cNvSpPr>
      </xdr:nvSpPr>
      <xdr:spPr bwMode="auto">
        <a:xfrm>
          <a:off x="5486400" y="6108700"/>
          <a:ext cx="2921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xdr:col>
      <xdr:colOff>0</xdr:colOff>
      <xdr:row>36</xdr:row>
      <xdr:rowOff>0</xdr:rowOff>
    </xdr:from>
    <xdr:ext cx="292100" cy="190500"/>
    <xdr:sp macro="" textlink="">
      <xdr:nvSpPr>
        <xdr:cNvPr id="29865" name="AutoShape 5" descr="Saudi Arabia">
          <a:hlinkClick xmlns:r="http://schemas.openxmlformats.org/officeDocument/2006/relationships" r:id="rId1" tooltip="Saudi Arabia"/>
          <a:extLst>
            <a:ext uri="{FF2B5EF4-FFF2-40B4-BE49-F238E27FC236}">
              <a16:creationId xmlns:a16="http://schemas.microsoft.com/office/drawing/2014/main" id="{66BC7473-33DF-9546-8B95-BC4D2E27E90D}"/>
            </a:ext>
          </a:extLst>
        </xdr:cNvPr>
        <xdr:cNvSpPr>
          <a:spLocks noChangeAspect="1" noChangeArrowheads="1"/>
        </xdr:cNvSpPr>
      </xdr:nvSpPr>
      <xdr:spPr bwMode="auto">
        <a:xfrm>
          <a:off x="5486400" y="6108700"/>
          <a:ext cx="2921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xdr:col>
      <xdr:colOff>0</xdr:colOff>
      <xdr:row>37</xdr:row>
      <xdr:rowOff>0</xdr:rowOff>
    </xdr:from>
    <xdr:ext cx="292100" cy="190500"/>
    <xdr:sp macro="" textlink="">
      <xdr:nvSpPr>
        <xdr:cNvPr id="29866" name="AutoShape 5" descr="Saudi Arabia">
          <a:hlinkClick xmlns:r="http://schemas.openxmlformats.org/officeDocument/2006/relationships" r:id="rId1" tooltip="Saudi Arabia"/>
          <a:extLst>
            <a:ext uri="{FF2B5EF4-FFF2-40B4-BE49-F238E27FC236}">
              <a16:creationId xmlns:a16="http://schemas.microsoft.com/office/drawing/2014/main" id="{87D329A1-5526-4649-91CB-9CFB095BDC8F}"/>
            </a:ext>
          </a:extLst>
        </xdr:cNvPr>
        <xdr:cNvSpPr>
          <a:spLocks noChangeAspect="1" noChangeArrowheads="1"/>
        </xdr:cNvSpPr>
      </xdr:nvSpPr>
      <xdr:spPr bwMode="auto">
        <a:xfrm>
          <a:off x="5486400" y="6108700"/>
          <a:ext cx="2921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xdr:col>
      <xdr:colOff>0</xdr:colOff>
      <xdr:row>38</xdr:row>
      <xdr:rowOff>0</xdr:rowOff>
    </xdr:from>
    <xdr:ext cx="292100" cy="190500"/>
    <xdr:sp macro="" textlink="">
      <xdr:nvSpPr>
        <xdr:cNvPr id="29867" name="AutoShape 5" descr="Saudi Arabia">
          <a:hlinkClick xmlns:r="http://schemas.openxmlformats.org/officeDocument/2006/relationships" r:id="rId1" tooltip="Saudi Arabia"/>
          <a:extLst>
            <a:ext uri="{FF2B5EF4-FFF2-40B4-BE49-F238E27FC236}">
              <a16:creationId xmlns:a16="http://schemas.microsoft.com/office/drawing/2014/main" id="{E4C12080-BA70-4C40-B7AC-869811733A01}"/>
            </a:ext>
          </a:extLst>
        </xdr:cNvPr>
        <xdr:cNvSpPr>
          <a:spLocks noChangeAspect="1" noChangeArrowheads="1"/>
        </xdr:cNvSpPr>
      </xdr:nvSpPr>
      <xdr:spPr bwMode="auto">
        <a:xfrm>
          <a:off x="5486400" y="6108700"/>
          <a:ext cx="2921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xdr:col>
      <xdr:colOff>0</xdr:colOff>
      <xdr:row>39</xdr:row>
      <xdr:rowOff>0</xdr:rowOff>
    </xdr:from>
    <xdr:ext cx="292100" cy="190500"/>
    <xdr:sp macro="" textlink="">
      <xdr:nvSpPr>
        <xdr:cNvPr id="29868" name="AutoShape 5" descr="Saudi Arabia">
          <a:hlinkClick xmlns:r="http://schemas.openxmlformats.org/officeDocument/2006/relationships" r:id="rId1" tooltip="Saudi Arabia"/>
          <a:extLst>
            <a:ext uri="{FF2B5EF4-FFF2-40B4-BE49-F238E27FC236}">
              <a16:creationId xmlns:a16="http://schemas.microsoft.com/office/drawing/2014/main" id="{EB3BB1F6-FAEE-7742-97A0-ADCE7EB19F50}"/>
            </a:ext>
          </a:extLst>
        </xdr:cNvPr>
        <xdr:cNvSpPr>
          <a:spLocks noChangeAspect="1" noChangeArrowheads="1"/>
        </xdr:cNvSpPr>
      </xdr:nvSpPr>
      <xdr:spPr bwMode="auto">
        <a:xfrm>
          <a:off x="5486400" y="6108700"/>
          <a:ext cx="2921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xdr:col>
      <xdr:colOff>0</xdr:colOff>
      <xdr:row>40</xdr:row>
      <xdr:rowOff>0</xdr:rowOff>
    </xdr:from>
    <xdr:ext cx="292100" cy="190500"/>
    <xdr:sp macro="" textlink="">
      <xdr:nvSpPr>
        <xdr:cNvPr id="29869" name="AutoShape 5" descr="Saudi Arabia">
          <a:hlinkClick xmlns:r="http://schemas.openxmlformats.org/officeDocument/2006/relationships" r:id="rId1" tooltip="Saudi Arabia"/>
          <a:extLst>
            <a:ext uri="{FF2B5EF4-FFF2-40B4-BE49-F238E27FC236}">
              <a16:creationId xmlns:a16="http://schemas.microsoft.com/office/drawing/2014/main" id="{2B55AF63-152D-BF43-A697-44B9849195AB}"/>
            </a:ext>
          </a:extLst>
        </xdr:cNvPr>
        <xdr:cNvSpPr>
          <a:spLocks noChangeAspect="1" noChangeArrowheads="1"/>
        </xdr:cNvSpPr>
      </xdr:nvSpPr>
      <xdr:spPr bwMode="auto">
        <a:xfrm>
          <a:off x="5486400" y="6108700"/>
          <a:ext cx="2921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xdr:col>
      <xdr:colOff>0</xdr:colOff>
      <xdr:row>41</xdr:row>
      <xdr:rowOff>0</xdr:rowOff>
    </xdr:from>
    <xdr:ext cx="292100" cy="190500"/>
    <xdr:sp macro="" textlink="">
      <xdr:nvSpPr>
        <xdr:cNvPr id="29870" name="AutoShape 5" descr="Saudi Arabia">
          <a:hlinkClick xmlns:r="http://schemas.openxmlformats.org/officeDocument/2006/relationships" r:id="rId1" tooltip="Saudi Arabia"/>
          <a:extLst>
            <a:ext uri="{FF2B5EF4-FFF2-40B4-BE49-F238E27FC236}">
              <a16:creationId xmlns:a16="http://schemas.microsoft.com/office/drawing/2014/main" id="{B912C87B-8D5D-3A43-B246-760BF7CAAB45}"/>
            </a:ext>
          </a:extLst>
        </xdr:cNvPr>
        <xdr:cNvSpPr>
          <a:spLocks noChangeAspect="1" noChangeArrowheads="1"/>
        </xdr:cNvSpPr>
      </xdr:nvSpPr>
      <xdr:spPr bwMode="auto">
        <a:xfrm>
          <a:off x="5486400" y="6108700"/>
          <a:ext cx="2921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xdr:col>
      <xdr:colOff>0</xdr:colOff>
      <xdr:row>42</xdr:row>
      <xdr:rowOff>0</xdr:rowOff>
    </xdr:from>
    <xdr:ext cx="292100" cy="190500"/>
    <xdr:sp macro="" textlink="">
      <xdr:nvSpPr>
        <xdr:cNvPr id="29871" name="AutoShape 5" descr="Saudi Arabia">
          <a:hlinkClick xmlns:r="http://schemas.openxmlformats.org/officeDocument/2006/relationships" r:id="rId1" tooltip="Saudi Arabia"/>
          <a:extLst>
            <a:ext uri="{FF2B5EF4-FFF2-40B4-BE49-F238E27FC236}">
              <a16:creationId xmlns:a16="http://schemas.microsoft.com/office/drawing/2014/main" id="{65050C67-AB11-A74D-9655-02C78A9F8E21}"/>
            </a:ext>
          </a:extLst>
        </xdr:cNvPr>
        <xdr:cNvSpPr>
          <a:spLocks noChangeAspect="1" noChangeArrowheads="1"/>
        </xdr:cNvSpPr>
      </xdr:nvSpPr>
      <xdr:spPr bwMode="auto">
        <a:xfrm>
          <a:off x="5486400" y="6108700"/>
          <a:ext cx="2921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xdr:col>
      <xdr:colOff>0</xdr:colOff>
      <xdr:row>43</xdr:row>
      <xdr:rowOff>0</xdr:rowOff>
    </xdr:from>
    <xdr:ext cx="292100" cy="190500"/>
    <xdr:sp macro="" textlink="">
      <xdr:nvSpPr>
        <xdr:cNvPr id="29872" name="AutoShape 5" descr="Saudi Arabia">
          <a:hlinkClick xmlns:r="http://schemas.openxmlformats.org/officeDocument/2006/relationships" r:id="rId1" tooltip="Saudi Arabia"/>
          <a:extLst>
            <a:ext uri="{FF2B5EF4-FFF2-40B4-BE49-F238E27FC236}">
              <a16:creationId xmlns:a16="http://schemas.microsoft.com/office/drawing/2014/main" id="{6BF5B361-623E-954D-84A9-97F281523980}"/>
            </a:ext>
          </a:extLst>
        </xdr:cNvPr>
        <xdr:cNvSpPr>
          <a:spLocks noChangeAspect="1" noChangeArrowheads="1"/>
        </xdr:cNvSpPr>
      </xdr:nvSpPr>
      <xdr:spPr bwMode="auto">
        <a:xfrm>
          <a:off x="5486400" y="6108700"/>
          <a:ext cx="2921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xdr:col>
      <xdr:colOff>0</xdr:colOff>
      <xdr:row>44</xdr:row>
      <xdr:rowOff>0</xdr:rowOff>
    </xdr:from>
    <xdr:ext cx="292100" cy="190500"/>
    <xdr:sp macro="" textlink="">
      <xdr:nvSpPr>
        <xdr:cNvPr id="29873" name="AutoShape 5" descr="Saudi Arabia">
          <a:hlinkClick xmlns:r="http://schemas.openxmlformats.org/officeDocument/2006/relationships" r:id="rId1" tooltip="Saudi Arabia"/>
          <a:extLst>
            <a:ext uri="{FF2B5EF4-FFF2-40B4-BE49-F238E27FC236}">
              <a16:creationId xmlns:a16="http://schemas.microsoft.com/office/drawing/2014/main" id="{24D57F1F-9449-C748-A465-322A6C7E9532}"/>
            </a:ext>
          </a:extLst>
        </xdr:cNvPr>
        <xdr:cNvSpPr>
          <a:spLocks noChangeAspect="1" noChangeArrowheads="1"/>
        </xdr:cNvSpPr>
      </xdr:nvSpPr>
      <xdr:spPr bwMode="auto">
        <a:xfrm>
          <a:off x="5486400" y="6108700"/>
          <a:ext cx="2921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xdr:col>
      <xdr:colOff>0</xdr:colOff>
      <xdr:row>45</xdr:row>
      <xdr:rowOff>0</xdr:rowOff>
    </xdr:from>
    <xdr:ext cx="292100" cy="190500"/>
    <xdr:sp macro="" textlink="">
      <xdr:nvSpPr>
        <xdr:cNvPr id="29874" name="AutoShape 5" descr="Saudi Arabia">
          <a:hlinkClick xmlns:r="http://schemas.openxmlformats.org/officeDocument/2006/relationships" r:id="rId1" tooltip="Saudi Arabia"/>
          <a:extLst>
            <a:ext uri="{FF2B5EF4-FFF2-40B4-BE49-F238E27FC236}">
              <a16:creationId xmlns:a16="http://schemas.microsoft.com/office/drawing/2014/main" id="{840E8F4D-2E3E-5147-BB72-FEC5029222BE}"/>
            </a:ext>
          </a:extLst>
        </xdr:cNvPr>
        <xdr:cNvSpPr>
          <a:spLocks noChangeAspect="1" noChangeArrowheads="1"/>
        </xdr:cNvSpPr>
      </xdr:nvSpPr>
      <xdr:spPr bwMode="auto">
        <a:xfrm>
          <a:off x="5486400" y="6108700"/>
          <a:ext cx="2921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xdr:col>
      <xdr:colOff>0</xdr:colOff>
      <xdr:row>46</xdr:row>
      <xdr:rowOff>0</xdr:rowOff>
    </xdr:from>
    <xdr:ext cx="292100" cy="190500"/>
    <xdr:sp macro="" textlink="">
      <xdr:nvSpPr>
        <xdr:cNvPr id="29875" name="AutoShape 5" descr="Saudi Arabia">
          <a:hlinkClick xmlns:r="http://schemas.openxmlformats.org/officeDocument/2006/relationships" r:id="rId1" tooltip="Saudi Arabia"/>
          <a:extLst>
            <a:ext uri="{FF2B5EF4-FFF2-40B4-BE49-F238E27FC236}">
              <a16:creationId xmlns:a16="http://schemas.microsoft.com/office/drawing/2014/main" id="{174DD13F-21AB-7545-B4DC-715795DDC20F}"/>
            </a:ext>
          </a:extLst>
        </xdr:cNvPr>
        <xdr:cNvSpPr>
          <a:spLocks noChangeAspect="1" noChangeArrowheads="1"/>
        </xdr:cNvSpPr>
      </xdr:nvSpPr>
      <xdr:spPr bwMode="auto">
        <a:xfrm>
          <a:off x="5486400" y="6108700"/>
          <a:ext cx="2921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xdr:col>
      <xdr:colOff>0</xdr:colOff>
      <xdr:row>47</xdr:row>
      <xdr:rowOff>0</xdr:rowOff>
    </xdr:from>
    <xdr:ext cx="292100" cy="190500"/>
    <xdr:sp macro="" textlink="">
      <xdr:nvSpPr>
        <xdr:cNvPr id="29876" name="AutoShape 5" descr="Saudi Arabia">
          <a:hlinkClick xmlns:r="http://schemas.openxmlformats.org/officeDocument/2006/relationships" r:id="rId1" tooltip="Saudi Arabia"/>
          <a:extLst>
            <a:ext uri="{FF2B5EF4-FFF2-40B4-BE49-F238E27FC236}">
              <a16:creationId xmlns:a16="http://schemas.microsoft.com/office/drawing/2014/main" id="{D9EF1E7A-7971-594B-AB34-E0BDDCC5C251}"/>
            </a:ext>
          </a:extLst>
        </xdr:cNvPr>
        <xdr:cNvSpPr>
          <a:spLocks noChangeAspect="1" noChangeArrowheads="1"/>
        </xdr:cNvSpPr>
      </xdr:nvSpPr>
      <xdr:spPr bwMode="auto">
        <a:xfrm>
          <a:off x="5486400" y="6108700"/>
          <a:ext cx="2921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27</xdr:row>
      <xdr:rowOff>0</xdr:rowOff>
    </xdr:from>
    <xdr:ext cx="292100" cy="190500"/>
    <xdr:sp macro="" textlink="">
      <xdr:nvSpPr>
        <xdr:cNvPr id="29877" name="AutoShape 7" descr="Italy">
          <a:hlinkClick xmlns:r="http://schemas.openxmlformats.org/officeDocument/2006/relationships" r:id="rId3" tooltip="Italy"/>
          <a:extLst>
            <a:ext uri="{FF2B5EF4-FFF2-40B4-BE49-F238E27FC236}">
              <a16:creationId xmlns:a16="http://schemas.microsoft.com/office/drawing/2014/main" id="{08156772-D4F0-044E-9D26-955C2119A516}"/>
            </a:ext>
          </a:extLst>
        </xdr:cNvPr>
        <xdr:cNvSpPr>
          <a:spLocks noChangeAspect="1" noChangeArrowheads="1"/>
        </xdr:cNvSpPr>
      </xdr:nvSpPr>
      <xdr:spPr bwMode="auto">
        <a:xfrm>
          <a:off x="7132320" y="6197600"/>
          <a:ext cx="2921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9</xdr:col>
      <xdr:colOff>0</xdr:colOff>
      <xdr:row>27</xdr:row>
      <xdr:rowOff>0</xdr:rowOff>
    </xdr:from>
    <xdr:ext cx="292100" cy="190500"/>
    <xdr:sp macro="" textlink="">
      <xdr:nvSpPr>
        <xdr:cNvPr id="29878" name="AutoShape 7" descr="Italy">
          <a:hlinkClick xmlns:r="http://schemas.openxmlformats.org/officeDocument/2006/relationships" r:id="rId3" tooltip="Italy"/>
          <a:extLst>
            <a:ext uri="{FF2B5EF4-FFF2-40B4-BE49-F238E27FC236}">
              <a16:creationId xmlns:a16="http://schemas.microsoft.com/office/drawing/2014/main" id="{D789A598-C9DD-B542-93B9-68FA63F8D7DC}"/>
            </a:ext>
          </a:extLst>
        </xdr:cNvPr>
        <xdr:cNvSpPr>
          <a:spLocks noChangeAspect="1" noChangeArrowheads="1"/>
        </xdr:cNvSpPr>
      </xdr:nvSpPr>
      <xdr:spPr bwMode="auto">
        <a:xfrm>
          <a:off x="7132320" y="6197600"/>
          <a:ext cx="2921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10</xdr:col>
      <xdr:colOff>0</xdr:colOff>
      <xdr:row>27</xdr:row>
      <xdr:rowOff>0</xdr:rowOff>
    </xdr:from>
    <xdr:ext cx="292100" cy="190500"/>
    <xdr:sp macro="" textlink="">
      <xdr:nvSpPr>
        <xdr:cNvPr id="29879" name="AutoShape 7" descr="Italy">
          <a:hlinkClick xmlns:r="http://schemas.openxmlformats.org/officeDocument/2006/relationships" r:id="rId3" tooltip="Italy"/>
          <a:extLst>
            <a:ext uri="{FF2B5EF4-FFF2-40B4-BE49-F238E27FC236}">
              <a16:creationId xmlns:a16="http://schemas.microsoft.com/office/drawing/2014/main" id="{3A60F8C5-3B1C-2440-960D-3F67587229A6}"/>
            </a:ext>
          </a:extLst>
        </xdr:cNvPr>
        <xdr:cNvSpPr>
          <a:spLocks noChangeAspect="1" noChangeArrowheads="1"/>
        </xdr:cNvSpPr>
      </xdr:nvSpPr>
      <xdr:spPr bwMode="auto">
        <a:xfrm>
          <a:off x="7132320" y="6197600"/>
          <a:ext cx="2921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27</xdr:row>
      <xdr:rowOff>0</xdr:rowOff>
    </xdr:from>
    <xdr:ext cx="292100" cy="190500"/>
    <xdr:sp macro="" textlink="">
      <xdr:nvSpPr>
        <xdr:cNvPr id="29880" name="AutoShape 7" descr="Italy">
          <a:hlinkClick xmlns:r="http://schemas.openxmlformats.org/officeDocument/2006/relationships" r:id="rId3" tooltip="Italy"/>
          <a:extLst>
            <a:ext uri="{FF2B5EF4-FFF2-40B4-BE49-F238E27FC236}">
              <a16:creationId xmlns:a16="http://schemas.microsoft.com/office/drawing/2014/main" id="{61F2EE85-41A5-D946-97AE-8C8E9BCAE049}"/>
            </a:ext>
          </a:extLst>
        </xdr:cNvPr>
        <xdr:cNvSpPr>
          <a:spLocks noChangeAspect="1" noChangeArrowheads="1"/>
        </xdr:cNvSpPr>
      </xdr:nvSpPr>
      <xdr:spPr bwMode="auto">
        <a:xfrm>
          <a:off x="7132320" y="6197600"/>
          <a:ext cx="2921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27</xdr:row>
      <xdr:rowOff>0</xdr:rowOff>
    </xdr:from>
    <xdr:ext cx="292100" cy="190500"/>
    <xdr:sp macro="" textlink="">
      <xdr:nvSpPr>
        <xdr:cNvPr id="29881" name="AutoShape 7" descr="Italy">
          <a:hlinkClick xmlns:r="http://schemas.openxmlformats.org/officeDocument/2006/relationships" r:id="rId3" tooltip="Italy"/>
          <a:extLst>
            <a:ext uri="{FF2B5EF4-FFF2-40B4-BE49-F238E27FC236}">
              <a16:creationId xmlns:a16="http://schemas.microsoft.com/office/drawing/2014/main" id="{002E6AE8-36DB-8B48-9C47-C3AEDF432598}"/>
            </a:ext>
          </a:extLst>
        </xdr:cNvPr>
        <xdr:cNvSpPr>
          <a:spLocks noChangeAspect="1" noChangeArrowheads="1"/>
        </xdr:cNvSpPr>
      </xdr:nvSpPr>
      <xdr:spPr bwMode="auto">
        <a:xfrm>
          <a:off x="7132320" y="6197600"/>
          <a:ext cx="2921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24</xdr:col>
      <xdr:colOff>0</xdr:colOff>
      <xdr:row>28</xdr:row>
      <xdr:rowOff>0</xdr:rowOff>
    </xdr:from>
    <xdr:ext cx="292100" cy="152400"/>
    <xdr:sp macro="" textlink="">
      <xdr:nvSpPr>
        <xdr:cNvPr id="29882" name="AutoShape 24" descr="United Arab Emirates">
          <a:hlinkClick xmlns:r="http://schemas.openxmlformats.org/officeDocument/2006/relationships" r:id="rId17" tooltip="United Arab Emirates"/>
          <a:extLst>
            <a:ext uri="{FF2B5EF4-FFF2-40B4-BE49-F238E27FC236}">
              <a16:creationId xmlns:a16="http://schemas.microsoft.com/office/drawing/2014/main" id="{F5A68A80-8721-B64A-BAD5-5616D2837782}"/>
            </a:ext>
          </a:extLst>
        </xdr:cNvPr>
        <xdr:cNvSpPr>
          <a:spLocks noChangeAspect="1" noChangeArrowheads="1"/>
        </xdr:cNvSpPr>
      </xdr:nvSpPr>
      <xdr:spPr bwMode="auto">
        <a:xfrm>
          <a:off x="21163280" y="6197600"/>
          <a:ext cx="2921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24</xdr:col>
      <xdr:colOff>0</xdr:colOff>
      <xdr:row>29</xdr:row>
      <xdr:rowOff>0</xdr:rowOff>
    </xdr:from>
    <xdr:ext cx="292100" cy="152400"/>
    <xdr:sp macro="" textlink="">
      <xdr:nvSpPr>
        <xdr:cNvPr id="29883" name="AutoShape 24" descr="United Arab Emirates">
          <a:hlinkClick xmlns:r="http://schemas.openxmlformats.org/officeDocument/2006/relationships" r:id="rId17" tooltip="United Arab Emirates"/>
          <a:extLst>
            <a:ext uri="{FF2B5EF4-FFF2-40B4-BE49-F238E27FC236}">
              <a16:creationId xmlns:a16="http://schemas.microsoft.com/office/drawing/2014/main" id="{9140BE12-3468-074A-B846-03C0CB8B5893}"/>
            </a:ext>
          </a:extLst>
        </xdr:cNvPr>
        <xdr:cNvSpPr>
          <a:spLocks noChangeAspect="1" noChangeArrowheads="1"/>
        </xdr:cNvSpPr>
      </xdr:nvSpPr>
      <xdr:spPr bwMode="auto">
        <a:xfrm>
          <a:off x="21163280" y="6197600"/>
          <a:ext cx="2921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24</xdr:col>
      <xdr:colOff>0</xdr:colOff>
      <xdr:row>30</xdr:row>
      <xdr:rowOff>0</xdr:rowOff>
    </xdr:from>
    <xdr:ext cx="292100" cy="152400"/>
    <xdr:sp macro="" textlink="">
      <xdr:nvSpPr>
        <xdr:cNvPr id="29884" name="AutoShape 24" descr="United Arab Emirates">
          <a:hlinkClick xmlns:r="http://schemas.openxmlformats.org/officeDocument/2006/relationships" r:id="rId17" tooltip="United Arab Emirates"/>
          <a:extLst>
            <a:ext uri="{FF2B5EF4-FFF2-40B4-BE49-F238E27FC236}">
              <a16:creationId xmlns:a16="http://schemas.microsoft.com/office/drawing/2014/main" id="{74ED14F0-E690-4C4F-9FF9-A74149EF3C6A}"/>
            </a:ext>
          </a:extLst>
        </xdr:cNvPr>
        <xdr:cNvSpPr>
          <a:spLocks noChangeAspect="1" noChangeArrowheads="1"/>
        </xdr:cNvSpPr>
      </xdr:nvSpPr>
      <xdr:spPr bwMode="auto">
        <a:xfrm>
          <a:off x="21163280" y="6197600"/>
          <a:ext cx="2921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24</xdr:col>
      <xdr:colOff>0</xdr:colOff>
      <xdr:row>31</xdr:row>
      <xdr:rowOff>0</xdr:rowOff>
    </xdr:from>
    <xdr:ext cx="292100" cy="152400"/>
    <xdr:sp macro="" textlink="">
      <xdr:nvSpPr>
        <xdr:cNvPr id="29885" name="AutoShape 24" descr="United Arab Emirates">
          <a:hlinkClick xmlns:r="http://schemas.openxmlformats.org/officeDocument/2006/relationships" r:id="rId17" tooltip="United Arab Emirates"/>
          <a:extLst>
            <a:ext uri="{FF2B5EF4-FFF2-40B4-BE49-F238E27FC236}">
              <a16:creationId xmlns:a16="http://schemas.microsoft.com/office/drawing/2014/main" id="{07CA40BB-F385-194A-96CA-7FB59B6D5AD6}"/>
            </a:ext>
          </a:extLst>
        </xdr:cNvPr>
        <xdr:cNvSpPr>
          <a:spLocks noChangeAspect="1" noChangeArrowheads="1"/>
        </xdr:cNvSpPr>
      </xdr:nvSpPr>
      <xdr:spPr bwMode="auto">
        <a:xfrm>
          <a:off x="21163280" y="6197600"/>
          <a:ext cx="2921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24</xdr:col>
      <xdr:colOff>0</xdr:colOff>
      <xdr:row>32</xdr:row>
      <xdr:rowOff>0</xdr:rowOff>
    </xdr:from>
    <xdr:ext cx="292100" cy="152400"/>
    <xdr:sp macro="" textlink="">
      <xdr:nvSpPr>
        <xdr:cNvPr id="29886" name="AutoShape 24" descr="United Arab Emirates">
          <a:hlinkClick xmlns:r="http://schemas.openxmlformats.org/officeDocument/2006/relationships" r:id="rId17" tooltip="United Arab Emirates"/>
          <a:extLst>
            <a:ext uri="{FF2B5EF4-FFF2-40B4-BE49-F238E27FC236}">
              <a16:creationId xmlns:a16="http://schemas.microsoft.com/office/drawing/2014/main" id="{DAC3860F-8CE9-A541-8A06-E65E95DA089A}"/>
            </a:ext>
          </a:extLst>
        </xdr:cNvPr>
        <xdr:cNvSpPr>
          <a:spLocks noChangeAspect="1" noChangeArrowheads="1"/>
        </xdr:cNvSpPr>
      </xdr:nvSpPr>
      <xdr:spPr bwMode="auto">
        <a:xfrm>
          <a:off x="21163280" y="6197600"/>
          <a:ext cx="2921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24</xdr:col>
      <xdr:colOff>0</xdr:colOff>
      <xdr:row>33</xdr:row>
      <xdr:rowOff>0</xdr:rowOff>
    </xdr:from>
    <xdr:ext cx="292100" cy="152400"/>
    <xdr:sp macro="" textlink="">
      <xdr:nvSpPr>
        <xdr:cNvPr id="29887" name="AutoShape 24" descr="United Arab Emirates">
          <a:hlinkClick xmlns:r="http://schemas.openxmlformats.org/officeDocument/2006/relationships" r:id="rId17" tooltip="United Arab Emirates"/>
          <a:extLst>
            <a:ext uri="{FF2B5EF4-FFF2-40B4-BE49-F238E27FC236}">
              <a16:creationId xmlns:a16="http://schemas.microsoft.com/office/drawing/2014/main" id="{198B711E-C114-D24A-A700-370E9C082B9E}"/>
            </a:ext>
          </a:extLst>
        </xdr:cNvPr>
        <xdr:cNvSpPr>
          <a:spLocks noChangeAspect="1" noChangeArrowheads="1"/>
        </xdr:cNvSpPr>
      </xdr:nvSpPr>
      <xdr:spPr bwMode="auto">
        <a:xfrm>
          <a:off x="21163280" y="6197600"/>
          <a:ext cx="2921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24</xdr:col>
      <xdr:colOff>0</xdr:colOff>
      <xdr:row>34</xdr:row>
      <xdr:rowOff>0</xdr:rowOff>
    </xdr:from>
    <xdr:ext cx="292100" cy="152400"/>
    <xdr:sp macro="" textlink="">
      <xdr:nvSpPr>
        <xdr:cNvPr id="29888" name="AutoShape 24" descr="United Arab Emirates">
          <a:hlinkClick xmlns:r="http://schemas.openxmlformats.org/officeDocument/2006/relationships" r:id="rId17" tooltip="United Arab Emirates"/>
          <a:extLst>
            <a:ext uri="{FF2B5EF4-FFF2-40B4-BE49-F238E27FC236}">
              <a16:creationId xmlns:a16="http://schemas.microsoft.com/office/drawing/2014/main" id="{D3EE3743-FEB4-C043-B70D-E65984EF680B}"/>
            </a:ext>
          </a:extLst>
        </xdr:cNvPr>
        <xdr:cNvSpPr>
          <a:spLocks noChangeAspect="1" noChangeArrowheads="1"/>
        </xdr:cNvSpPr>
      </xdr:nvSpPr>
      <xdr:spPr bwMode="auto">
        <a:xfrm>
          <a:off x="21163280" y="6197600"/>
          <a:ext cx="2921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24</xdr:col>
      <xdr:colOff>0</xdr:colOff>
      <xdr:row>35</xdr:row>
      <xdr:rowOff>0</xdr:rowOff>
    </xdr:from>
    <xdr:ext cx="292100" cy="152400"/>
    <xdr:sp macro="" textlink="">
      <xdr:nvSpPr>
        <xdr:cNvPr id="29889" name="AutoShape 24" descr="United Arab Emirates">
          <a:hlinkClick xmlns:r="http://schemas.openxmlformats.org/officeDocument/2006/relationships" r:id="rId17" tooltip="United Arab Emirates"/>
          <a:extLst>
            <a:ext uri="{FF2B5EF4-FFF2-40B4-BE49-F238E27FC236}">
              <a16:creationId xmlns:a16="http://schemas.microsoft.com/office/drawing/2014/main" id="{C78396C0-05B9-C14D-9A31-9047E49D732F}"/>
            </a:ext>
          </a:extLst>
        </xdr:cNvPr>
        <xdr:cNvSpPr>
          <a:spLocks noChangeAspect="1" noChangeArrowheads="1"/>
        </xdr:cNvSpPr>
      </xdr:nvSpPr>
      <xdr:spPr bwMode="auto">
        <a:xfrm>
          <a:off x="21163280" y="6197600"/>
          <a:ext cx="2921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24</xdr:col>
      <xdr:colOff>0</xdr:colOff>
      <xdr:row>36</xdr:row>
      <xdr:rowOff>0</xdr:rowOff>
    </xdr:from>
    <xdr:ext cx="292100" cy="152400"/>
    <xdr:sp macro="" textlink="">
      <xdr:nvSpPr>
        <xdr:cNvPr id="29890" name="AutoShape 24" descr="United Arab Emirates">
          <a:hlinkClick xmlns:r="http://schemas.openxmlformats.org/officeDocument/2006/relationships" r:id="rId17" tooltip="United Arab Emirates"/>
          <a:extLst>
            <a:ext uri="{FF2B5EF4-FFF2-40B4-BE49-F238E27FC236}">
              <a16:creationId xmlns:a16="http://schemas.microsoft.com/office/drawing/2014/main" id="{45FC6968-9E84-8E40-B1A2-47F7664081B1}"/>
            </a:ext>
          </a:extLst>
        </xdr:cNvPr>
        <xdr:cNvSpPr>
          <a:spLocks noChangeAspect="1" noChangeArrowheads="1"/>
        </xdr:cNvSpPr>
      </xdr:nvSpPr>
      <xdr:spPr bwMode="auto">
        <a:xfrm>
          <a:off x="21163280" y="6197600"/>
          <a:ext cx="2921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24</xdr:col>
      <xdr:colOff>0</xdr:colOff>
      <xdr:row>37</xdr:row>
      <xdr:rowOff>0</xdr:rowOff>
    </xdr:from>
    <xdr:ext cx="292100" cy="152400"/>
    <xdr:sp macro="" textlink="">
      <xdr:nvSpPr>
        <xdr:cNvPr id="29891" name="AutoShape 24" descr="United Arab Emirates">
          <a:hlinkClick xmlns:r="http://schemas.openxmlformats.org/officeDocument/2006/relationships" r:id="rId17" tooltip="United Arab Emirates"/>
          <a:extLst>
            <a:ext uri="{FF2B5EF4-FFF2-40B4-BE49-F238E27FC236}">
              <a16:creationId xmlns:a16="http://schemas.microsoft.com/office/drawing/2014/main" id="{9BF587B1-0D91-0C40-8797-743F12436DDF}"/>
            </a:ext>
          </a:extLst>
        </xdr:cNvPr>
        <xdr:cNvSpPr>
          <a:spLocks noChangeAspect="1" noChangeArrowheads="1"/>
        </xdr:cNvSpPr>
      </xdr:nvSpPr>
      <xdr:spPr bwMode="auto">
        <a:xfrm>
          <a:off x="21163280" y="6197600"/>
          <a:ext cx="2921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24</xdr:col>
      <xdr:colOff>0</xdr:colOff>
      <xdr:row>38</xdr:row>
      <xdr:rowOff>0</xdr:rowOff>
    </xdr:from>
    <xdr:ext cx="292100" cy="152400"/>
    <xdr:sp macro="" textlink="">
      <xdr:nvSpPr>
        <xdr:cNvPr id="29892" name="AutoShape 24" descr="United Arab Emirates">
          <a:hlinkClick xmlns:r="http://schemas.openxmlformats.org/officeDocument/2006/relationships" r:id="rId17" tooltip="United Arab Emirates"/>
          <a:extLst>
            <a:ext uri="{FF2B5EF4-FFF2-40B4-BE49-F238E27FC236}">
              <a16:creationId xmlns:a16="http://schemas.microsoft.com/office/drawing/2014/main" id="{44630585-4450-E74C-A5F5-55AF13633425}"/>
            </a:ext>
          </a:extLst>
        </xdr:cNvPr>
        <xdr:cNvSpPr>
          <a:spLocks noChangeAspect="1" noChangeArrowheads="1"/>
        </xdr:cNvSpPr>
      </xdr:nvSpPr>
      <xdr:spPr bwMode="auto">
        <a:xfrm>
          <a:off x="21163280" y="6197600"/>
          <a:ext cx="2921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24</xdr:col>
      <xdr:colOff>0</xdr:colOff>
      <xdr:row>39</xdr:row>
      <xdr:rowOff>0</xdr:rowOff>
    </xdr:from>
    <xdr:ext cx="292100" cy="152400"/>
    <xdr:sp macro="" textlink="">
      <xdr:nvSpPr>
        <xdr:cNvPr id="29893" name="AutoShape 24" descr="United Arab Emirates">
          <a:hlinkClick xmlns:r="http://schemas.openxmlformats.org/officeDocument/2006/relationships" r:id="rId17" tooltip="United Arab Emirates"/>
          <a:extLst>
            <a:ext uri="{FF2B5EF4-FFF2-40B4-BE49-F238E27FC236}">
              <a16:creationId xmlns:a16="http://schemas.microsoft.com/office/drawing/2014/main" id="{33E2552D-208C-6A4C-8D9F-9F57FC01949A}"/>
            </a:ext>
          </a:extLst>
        </xdr:cNvPr>
        <xdr:cNvSpPr>
          <a:spLocks noChangeAspect="1" noChangeArrowheads="1"/>
        </xdr:cNvSpPr>
      </xdr:nvSpPr>
      <xdr:spPr bwMode="auto">
        <a:xfrm>
          <a:off x="21163280" y="6197600"/>
          <a:ext cx="2921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24</xdr:col>
      <xdr:colOff>0</xdr:colOff>
      <xdr:row>40</xdr:row>
      <xdr:rowOff>0</xdr:rowOff>
    </xdr:from>
    <xdr:ext cx="292100" cy="152400"/>
    <xdr:sp macro="" textlink="">
      <xdr:nvSpPr>
        <xdr:cNvPr id="29894" name="AutoShape 24" descr="United Arab Emirates">
          <a:hlinkClick xmlns:r="http://schemas.openxmlformats.org/officeDocument/2006/relationships" r:id="rId17" tooltip="United Arab Emirates"/>
          <a:extLst>
            <a:ext uri="{FF2B5EF4-FFF2-40B4-BE49-F238E27FC236}">
              <a16:creationId xmlns:a16="http://schemas.microsoft.com/office/drawing/2014/main" id="{E52593E9-909D-0C47-840E-8195725A7758}"/>
            </a:ext>
          </a:extLst>
        </xdr:cNvPr>
        <xdr:cNvSpPr>
          <a:spLocks noChangeAspect="1" noChangeArrowheads="1"/>
        </xdr:cNvSpPr>
      </xdr:nvSpPr>
      <xdr:spPr bwMode="auto">
        <a:xfrm>
          <a:off x="21163280" y="6197600"/>
          <a:ext cx="2921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24</xdr:col>
      <xdr:colOff>0</xdr:colOff>
      <xdr:row>41</xdr:row>
      <xdr:rowOff>0</xdr:rowOff>
    </xdr:from>
    <xdr:ext cx="292100" cy="152400"/>
    <xdr:sp macro="" textlink="">
      <xdr:nvSpPr>
        <xdr:cNvPr id="29895" name="AutoShape 24" descr="United Arab Emirates">
          <a:hlinkClick xmlns:r="http://schemas.openxmlformats.org/officeDocument/2006/relationships" r:id="rId17" tooltip="United Arab Emirates"/>
          <a:extLst>
            <a:ext uri="{FF2B5EF4-FFF2-40B4-BE49-F238E27FC236}">
              <a16:creationId xmlns:a16="http://schemas.microsoft.com/office/drawing/2014/main" id="{A3FADC94-900A-4A43-AE4C-FF672E36578B}"/>
            </a:ext>
          </a:extLst>
        </xdr:cNvPr>
        <xdr:cNvSpPr>
          <a:spLocks noChangeAspect="1" noChangeArrowheads="1"/>
        </xdr:cNvSpPr>
      </xdr:nvSpPr>
      <xdr:spPr bwMode="auto">
        <a:xfrm>
          <a:off x="21163280" y="6197600"/>
          <a:ext cx="2921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24</xdr:col>
      <xdr:colOff>0</xdr:colOff>
      <xdr:row>42</xdr:row>
      <xdr:rowOff>0</xdr:rowOff>
    </xdr:from>
    <xdr:ext cx="292100" cy="152400"/>
    <xdr:sp macro="" textlink="">
      <xdr:nvSpPr>
        <xdr:cNvPr id="29896" name="AutoShape 24" descr="United Arab Emirates">
          <a:hlinkClick xmlns:r="http://schemas.openxmlformats.org/officeDocument/2006/relationships" r:id="rId17" tooltip="United Arab Emirates"/>
          <a:extLst>
            <a:ext uri="{FF2B5EF4-FFF2-40B4-BE49-F238E27FC236}">
              <a16:creationId xmlns:a16="http://schemas.microsoft.com/office/drawing/2014/main" id="{889E1E45-2177-4249-8EC0-641FE82E3C66}"/>
            </a:ext>
          </a:extLst>
        </xdr:cNvPr>
        <xdr:cNvSpPr>
          <a:spLocks noChangeAspect="1" noChangeArrowheads="1"/>
        </xdr:cNvSpPr>
      </xdr:nvSpPr>
      <xdr:spPr bwMode="auto">
        <a:xfrm>
          <a:off x="21163280" y="6197600"/>
          <a:ext cx="2921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24</xdr:col>
      <xdr:colOff>0</xdr:colOff>
      <xdr:row>43</xdr:row>
      <xdr:rowOff>0</xdr:rowOff>
    </xdr:from>
    <xdr:ext cx="292100" cy="152400"/>
    <xdr:sp macro="" textlink="">
      <xdr:nvSpPr>
        <xdr:cNvPr id="29897" name="AutoShape 24" descr="United Arab Emirates">
          <a:hlinkClick xmlns:r="http://schemas.openxmlformats.org/officeDocument/2006/relationships" r:id="rId17" tooltip="United Arab Emirates"/>
          <a:extLst>
            <a:ext uri="{FF2B5EF4-FFF2-40B4-BE49-F238E27FC236}">
              <a16:creationId xmlns:a16="http://schemas.microsoft.com/office/drawing/2014/main" id="{83C8CB2A-1DCD-4E44-91C7-5D895461BBAE}"/>
            </a:ext>
          </a:extLst>
        </xdr:cNvPr>
        <xdr:cNvSpPr>
          <a:spLocks noChangeAspect="1" noChangeArrowheads="1"/>
        </xdr:cNvSpPr>
      </xdr:nvSpPr>
      <xdr:spPr bwMode="auto">
        <a:xfrm>
          <a:off x="21163280" y="6197600"/>
          <a:ext cx="2921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24</xdr:col>
      <xdr:colOff>0</xdr:colOff>
      <xdr:row>44</xdr:row>
      <xdr:rowOff>0</xdr:rowOff>
    </xdr:from>
    <xdr:ext cx="292100" cy="152400"/>
    <xdr:sp macro="" textlink="">
      <xdr:nvSpPr>
        <xdr:cNvPr id="29898" name="AutoShape 24" descr="United Arab Emirates">
          <a:hlinkClick xmlns:r="http://schemas.openxmlformats.org/officeDocument/2006/relationships" r:id="rId17" tooltip="United Arab Emirates"/>
          <a:extLst>
            <a:ext uri="{FF2B5EF4-FFF2-40B4-BE49-F238E27FC236}">
              <a16:creationId xmlns:a16="http://schemas.microsoft.com/office/drawing/2014/main" id="{C61388A4-C4FC-DC40-A044-BF014ABD44A4}"/>
            </a:ext>
          </a:extLst>
        </xdr:cNvPr>
        <xdr:cNvSpPr>
          <a:spLocks noChangeAspect="1" noChangeArrowheads="1"/>
        </xdr:cNvSpPr>
      </xdr:nvSpPr>
      <xdr:spPr bwMode="auto">
        <a:xfrm>
          <a:off x="21163280" y="6197600"/>
          <a:ext cx="2921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24</xdr:col>
      <xdr:colOff>0</xdr:colOff>
      <xdr:row>45</xdr:row>
      <xdr:rowOff>0</xdr:rowOff>
    </xdr:from>
    <xdr:ext cx="292100" cy="152400"/>
    <xdr:sp macro="" textlink="">
      <xdr:nvSpPr>
        <xdr:cNvPr id="29899" name="AutoShape 24" descr="United Arab Emirates">
          <a:hlinkClick xmlns:r="http://schemas.openxmlformats.org/officeDocument/2006/relationships" r:id="rId17" tooltip="United Arab Emirates"/>
          <a:extLst>
            <a:ext uri="{FF2B5EF4-FFF2-40B4-BE49-F238E27FC236}">
              <a16:creationId xmlns:a16="http://schemas.microsoft.com/office/drawing/2014/main" id="{EAC465FC-8104-4A4A-B129-1847482DF677}"/>
            </a:ext>
          </a:extLst>
        </xdr:cNvPr>
        <xdr:cNvSpPr>
          <a:spLocks noChangeAspect="1" noChangeArrowheads="1"/>
        </xdr:cNvSpPr>
      </xdr:nvSpPr>
      <xdr:spPr bwMode="auto">
        <a:xfrm>
          <a:off x="21163280" y="6197600"/>
          <a:ext cx="2921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24</xdr:col>
      <xdr:colOff>0</xdr:colOff>
      <xdr:row>46</xdr:row>
      <xdr:rowOff>0</xdr:rowOff>
    </xdr:from>
    <xdr:ext cx="292100" cy="152400"/>
    <xdr:sp macro="" textlink="">
      <xdr:nvSpPr>
        <xdr:cNvPr id="29900" name="AutoShape 24" descr="United Arab Emirates">
          <a:hlinkClick xmlns:r="http://schemas.openxmlformats.org/officeDocument/2006/relationships" r:id="rId17" tooltip="United Arab Emirates"/>
          <a:extLst>
            <a:ext uri="{FF2B5EF4-FFF2-40B4-BE49-F238E27FC236}">
              <a16:creationId xmlns:a16="http://schemas.microsoft.com/office/drawing/2014/main" id="{46AA8B10-4233-3649-9830-D471FA287EDA}"/>
            </a:ext>
          </a:extLst>
        </xdr:cNvPr>
        <xdr:cNvSpPr>
          <a:spLocks noChangeAspect="1" noChangeArrowheads="1"/>
        </xdr:cNvSpPr>
      </xdr:nvSpPr>
      <xdr:spPr bwMode="auto">
        <a:xfrm>
          <a:off x="21163280" y="6197600"/>
          <a:ext cx="2921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24</xdr:col>
      <xdr:colOff>0</xdr:colOff>
      <xdr:row>47</xdr:row>
      <xdr:rowOff>0</xdr:rowOff>
    </xdr:from>
    <xdr:ext cx="292100" cy="152400"/>
    <xdr:sp macro="" textlink="">
      <xdr:nvSpPr>
        <xdr:cNvPr id="29901" name="AutoShape 24" descr="United Arab Emirates">
          <a:hlinkClick xmlns:r="http://schemas.openxmlformats.org/officeDocument/2006/relationships" r:id="rId17" tooltip="United Arab Emirates"/>
          <a:extLst>
            <a:ext uri="{FF2B5EF4-FFF2-40B4-BE49-F238E27FC236}">
              <a16:creationId xmlns:a16="http://schemas.microsoft.com/office/drawing/2014/main" id="{D391CB5A-7E7F-434E-BCE4-761A9AD69DBF}"/>
            </a:ext>
          </a:extLst>
        </xdr:cNvPr>
        <xdr:cNvSpPr>
          <a:spLocks noChangeAspect="1" noChangeArrowheads="1"/>
        </xdr:cNvSpPr>
      </xdr:nvSpPr>
      <xdr:spPr bwMode="auto">
        <a:xfrm>
          <a:off x="21163280" y="6197600"/>
          <a:ext cx="2921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22</xdr:col>
      <xdr:colOff>0</xdr:colOff>
      <xdr:row>28</xdr:row>
      <xdr:rowOff>0</xdr:rowOff>
    </xdr:from>
    <xdr:ext cx="292100" cy="152400"/>
    <xdr:sp macro="" textlink="">
      <xdr:nvSpPr>
        <xdr:cNvPr id="29902" name="AutoShape 22" descr="United States">
          <a:hlinkClick xmlns:r="http://schemas.openxmlformats.org/officeDocument/2006/relationships" r:id="rId2" tooltip="United States"/>
          <a:extLst>
            <a:ext uri="{FF2B5EF4-FFF2-40B4-BE49-F238E27FC236}">
              <a16:creationId xmlns:a16="http://schemas.microsoft.com/office/drawing/2014/main" id="{BA31BA0C-5D26-DB45-B2AD-E6ECD25CF3DC}"/>
            </a:ext>
          </a:extLst>
        </xdr:cNvPr>
        <xdr:cNvSpPr>
          <a:spLocks noChangeAspect="1" noChangeArrowheads="1"/>
        </xdr:cNvSpPr>
      </xdr:nvSpPr>
      <xdr:spPr bwMode="auto">
        <a:xfrm>
          <a:off x="19517360" y="6197600"/>
          <a:ext cx="2921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22</xdr:col>
      <xdr:colOff>0</xdr:colOff>
      <xdr:row>29</xdr:row>
      <xdr:rowOff>0</xdr:rowOff>
    </xdr:from>
    <xdr:ext cx="292100" cy="152400"/>
    <xdr:sp macro="" textlink="">
      <xdr:nvSpPr>
        <xdr:cNvPr id="29903" name="AutoShape 22" descr="United States">
          <a:hlinkClick xmlns:r="http://schemas.openxmlformats.org/officeDocument/2006/relationships" r:id="rId2" tooltip="United States"/>
          <a:extLst>
            <a:ext uri="{FF2B5EF4-FFF2-40B4-BE49-F238E27FC236}">
              <a16:creationId xmlns:a16="http://schemas.microsoft.com/office/drawing/2014/main" id="{A983AC51-1E82-B94B-BBA9-8B57CD04413C}"/>
            </a:ext>
          </a:extLst>
        </xdr:cNvPr>
        <xdr:cNvSpPr>
          <a:spLocks noChangeAspect="1" noChangeArrowheads="1"/>
        </xdr:cNvSpPr>
      </xdr:nvSpPr>
      <xdr:spPr bwMode="auto">
        <a:xfrm>
          <a:off x="19517360" y="6197600"/>
          <a:ext cx="2921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22</xdr:col>
      <xdr:colOff>0</xdr:colOff>
      <xdr:row>30</xdr:row>
      <xdr:rowOff>0</xdr:rowOff>
    </xdr:from>
    <xdr:ext cx="292100" cy="152400"/>
    <xdr:sp macro="" textlink="">
      <xdr:nvSpPr>
        <xdr:cNvPr id="29904" name="AutoShape 22" descr="United States">
          <a:hlinkClick xmlns:r="http://schemas.openxmlformats.org/officeDocument/2006/relationships" r:id="rId2" tooltip="United States"/>
          <a:extLst>
            <a:ext uri="{FF2B5EF4-FFF2-40B4-BE49-F238E27FC236}">
              <a16:creationId xmlns:a16="http://schemas.microsoft.com/office/drawing/2014/main" id="{E5F5CC66-717E-6744-A055-77D0F991F8CA}"/>
            </a:ext>
          </a:extLst>
        </xdr:cNvPr>
        <xdr:cNvSpPr>
          <a:spLocks noChangeAspect="1" noChangeArrowheads="1"/>
        </xdr:cNvSpPr>
      </xdr:nvSpPr>
      <xdr:spPr bwMode="auto">
        <a:xfrm>
          <a:off x="19517360" y="6197600"/>
          <a:ext cx="2921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22</xdr:col>
      <xdr:colOff>0</xdr:colOff>
      <xdr:row>31</xdr:row>
      <xdr:rowOff>0</xdr:rowOff>
    </xdr:from>
    <xdr:ext cx="292100" cy="152400"/>
    <xdr:sp macro="" textlink="">
      <xdr:nvSpPr>
        <xdr:cNvPr id="29905" name="AutoShape 22" descr="United States">
          <a:hlinkClick xmlns:r="http://schemas.openxmlformats.org/officeDocument/2006/relationships" r:id="rId2" tooltip="United States"/>
          <a:extLst>
            <a:ext uri="{FF2B5EF4-FFF2-40B4-BE49-F238E27FC236}">
              <a16:creationId xmlns:a16="http://schemas.microsoft.com/office/drawing/2014/main" id="{483BB2F9-8A1E-FB48-8F74-7BE0F0C06360}"/>
            </a:ext>
          </a:extLst>
        </xdr:cNvPr>
        <xdr:cNvSpPr>
          <a:spLocks noChangeAspect="1" noChangeArrowheads="1"/>
        </xdr:cNvSpPr>
      </xdr:nvSpPr>
      <xdr:spPr bwMode="auto">
        <a:xfrm>
          <a:off x="19517360" y="6197600"/>
          <a:ext cx="2921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22</xdr:col>
      <xdr:colOff>0</xdr:colOff>
      <xdr:row>32</xdr:row>
      <xdr:rowOff>0</xdr:rowOff>
    </xdr:from>
    <xdr:ext cx="292100" cy="152400"/>
    <xdr:sp macro="" textlink="">
      <xdr:nvSpPr>
        <xdr:cNvPr id="29906" name="AutoShape 22" descr="United States">
          <a:hlinkClick xmlns:r="http://schemas.openxmlformats.org/officeDocument/2006/relationships" r:id="rId2" tooltip="United States"/>
          <a:extLst>
            <a:ext uri="{FF2B5EF4-FFF2-40B4-BE49-F238E27FC236}">
              <a16:creationId xmlns:a16="http://schemas.microsoft.com/office/drawing/2014/main" id="{EF2E9304-C59B-4949-A857-D2955EAA7398}"/>
            </a:ext>
          </a:extLst>
        </xdr:cNvPr>
        <xdr:cNvSpPr>
          <a:spLocks noChangeAspect="1" noChangeArrowheads="1"/>
        </xdr:cNvSpPr>
      </xdr:nvSpPr>
      <xdr:spPr bwMode="auto">
        <a:xfrm>
          <a:off x="19517360" y="6197600"/>
          <a:ext cx="2921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22</xdr:col>
      <xdr:colOff>0</xdr:colOff>
      <xdr:row>33</xdr:row>
      <xdr:rowOff>0</xdr:rowOff>
    </xdr:from>
    <xdr:ext cx="292100" cy="152400"/>
    <xdr:sp macro="" textlink="">
      <xdr:nvSpPr>
        <xdr:cNvPr id="29907" name="AutoShape 22" descr="United States">
          <a:hlinkClick xmlns:r="http://schemas.openxmlformats.org/officeDocument/2006/relationships" r:id="rId2" tooltip="United States"/>
          <a:extLst>
            <a:ext uri="{FF2B5EF4-FFF2-40B4-BE49-F238E27FC236}">
              <a16:creationId xmlns:a16="http://schemas.microsoft.com/office/drawing/2014/main" id="{2717AB27-94C1-EB49-8C4E-4CF664ECE1E4}"/>
            </a:ext>
          </a:extLst>
        </xdr:cNvPr>
        <xdr:cNvSpPr>
          <a:spLocks noChangeAspect="1" noChangeArrowheads="1"/>
        </xdr:cNvSpPr>
      </xdr:nvSpPr>
      <xdr:spPr bwMode="auto">
        <a:xfrm>
          <a:off x="19517360" y="6197600"/>
          <a:ext cx="2921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22</xdr:col>
      <xdr:colOff>0</xdr:colOff>
      <xdr:row>34</xdr:row>
      <xdr:rowOff>0</xdr:rowOff>
    </xdr:from>
    <xdr:ext cx="292100" cy="152400"/>
    <xdr:sp macro="" textlink="">
      <xdr:nvSpPr>
        <xdr:cNvPr id="29908" name="AutoShape 22" descr="United States">
          <a:hlinkClick xmlns:r="http://schemas.openxmlformats.org/officeDocument/2006/relationships" r:id="rId2" tooltip="United States"/>
          <a:extLst>
            <a:ext uri="{FF2B5EF4-FFF2-40B4-BE49-F238E27FC236}">
              <a16:creationId xmlns:a16="http://schemas.microsoft.com/office/drawing/2014/main" id="{FDD88346-38E1-1C41-8F17-4DA6ED5E8AC1}"/>
            </a:ext>
          </a:extLst>
        </xdr:cNvPr>
        <xdr:cNvSpPr>
          <a:spLocks noChangeAspect="1" noChangeArrowheads="1"/>
        </xdr:cNvSpPr>
      </xdr:nvSpPr>
      <xdr:spPr bwMode="auto">
        <a:xfrm>
          <a:off x="19517360" y="6197600"/>
          <a:ext cx="2921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22</xdr:col>
      <xdr:colOff>0</xdr:colOff>
      <xdr:row>35</xdr:row>
      <xdr:rowOff>0</xdr:rowOff>
    </xdr:from>
    <xdr:ext cx="292100" cy="152400"/>
    <xdr:sp macro="" textlink="">
      <xdr:nvSpPr>
        <xdr:cNvPr id="29909" name="AutoShape 22" descr="United States">
          <a:hlinkClick xmlns:r="http://schemas.openxmlformats.org/officeDocument/2006/relationships" r:id="rId2" tooltip="United States"/>
          <a:extLst>
            <a:ext uri="{FF2B5EF4-FFF2-40B4-BE49-F238E27FC236}">
              <a16:creationId xmlns:a16="http://schemas.microsoft.com/office/drawing/2014/main" id="{266495FD-E395-1E40-9D29-532B38319514}"/>
            </a:ext>
          </a:extLst>
        </xdr:cNvPr>
        <xdr:cNvSpPr>
          <a:spLocks noChangeAspect="1" noChangeArrowheads="1"/>
        </xdr:cNvSpPr>
      </xdr:nvSpPr>
      <xdr:spPr bwMode="auto">
        <a:xfrm>
          <a:off x="19517360" y="6197600"/>
          <a:ext cx="2921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22</xdr:col>
      <xdr:colOff>0</xdr:colOff>
      <xdr:row>36</xdr:row>
      <xdr:rowOff>0</xdr:rowOff>
    </xdr:from>
    <xdr:ext cx="292100" cy="152400"/>
    <xdr:sp macro="" textlink="">
      <xdr:nvSpPr>
        <xdr:cNvPr id="29910" name="AutoShape 22" descr="United States">
          <a:hlinkClick xmlns:r="http://schemas.openxmlformats.org/officeDocument/2006/relationships" r:id="rId2" tooltip="United States"/>
          <a:extLst>
            <a:ext uri="{FF2B5EF4-FFF2-40B4-BE49-F238E27FC236}">
              <a16:creationId xmlns:a16="http://schemas.microsoft.com/office/drawing/2014/main" id="{FABCF03E-32C1-5B4F-B39C-64A2633ABEEF}"/>
            </a:ext>
          </a:extLst>
        </xdr:cNvPr>
        <xdr:cNvSpPr>
          <a:spLocks noChangeAspect="1" noChangeArrowheads="1"/>
        </xdr:cNvSpPr>
      </xdr:nvSpPr>
      <xdr:spPr bwMode="auto">
        <a:xfrm>
          <a:off x="19517360" y="6197600"/>
          <a:ext cx="2921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22</xdr:col>
      <xdr:colOff>0</xdr:colOff>
      <xdr:row>37</xdr:row>
      <xdr:rowOff>0</xdr:rowOff>
    </xdr:from>
    <xdr:ext cx="292100" cy="152400"/>
    <xdr:sp macro="" textlink="">
      <xdr:nvSpPr>
        <xdr:cNvPr id="29911" name="AutoShape 22" descr="United States">
          <a:hlinkClick xmlns:r="http://schemas.openxmlformats.org/officeDocument/2006/relationships" r:id="rId2" tooltip="United States"/>
          <a:extLst>
            <a:ext uri="{FF2B5EF4-FFF2-40B4-BE49-F238E27FC236}">
              <a16:creationId xmlns:a16="http://schemas.microsoft.com/office/drawing/2014/main" id="{24729EDC-9B77-D148-A28A-7198463AB3D1}"/>
            </a:ext>
          </a:extLst>
        </xdr:cNvPr>
        <xdr:cNvSpPr>
          <a:spLocks noChangeAspect="1" noChangeArrowheads="1"/>
        </xdr:cNvSpPr>
      </xdr:nvSpPr>
      <xdr:spPr bwMode="auto">
        <a:xfrm>
          <a:off x="19517360" y="6197600"/>
          <a:ext cx="2921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22</xdr:col>
      <xdr:colOff>0</xdr:colOff>
      <xdr:row>38</xdr:row>
      <xdr:rowOff>0</xdr:rowOff>
    </xdr:from>
    <xdr:ext cx="292100" cy="152400"/>
    <xdr:sp macro="" textlink="">
      <xdr:nvSpPr>
        <xdr:cNvPr id="29912" name="AutoShape 22" descr="United States">
          <a:hlinkClick xmlns:r="http://schemas.openxmlformats.org/officeDocument/2006/relationships" r:id="rId2" tooltip="United States"/>
          <a:extLst>
            <a:ext uri="{FF2B5EF4-FFF2-40B4-BE49-F238E27FC236}">
              <a16:creationId xmlns:a16="http://schemas.microsoft.com/office/drawing/2014/main" id="{6425FEB0-A7E6-FB40-9857-22D9BAAE4704}"/>
            </a:ext>
          </a:extLst>
        </xdr:cNvPr>
        <xdr:cNvSpPr>
          <a:spLocks noChangeAspect="1" noChangeArrowheads="1"/>
        </xdr:cNvSpPr>
      </xdr:nvSpPr>
      <xdr:spPr bwMode="auto">
        <a:xfrm>
          <a:off x="19517360" y="6197600"/>
          <a:ext cx="2921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22</xdr:col>
      <xdr:colOff>0</xdr:colOff>
      <xdr:row>39</xdr:row>
      <xdr:rowOff>0</xdr:rowOff>
    </xdr:from>
    <xdr:ext cx="292100" cy="152400"/>
    <xdr:sp macro="" textlink="">
      <xdr:nvSpPr>
        <xdr:cNvPr id="29913" name="AutoShape 22" descr="United States">
          <a:hlinkClick xmlns:r="http://schemas.openxmlformats.org/officeDocument/2006/relationships" r:id="rId2" tooltip="United States"/>
          <a:extLst>
            <a:ext uri="{FF2B5EF4-FFF2-40B4-BE49-F238E27FC236}">
              <a16:creationId xmlns:a16="http://schemas.microsoft.com/office/drawing/2014/main" id="{00D73A03-9D3D-B447-8CA6-8D476941BA6C}"/>
            </a:ext>
          </a:extLst>
        </xdr:cNvPr>
        <xdr:cNvSpPr>
          <a:spLocks noChangeAspect="1" noChangeArrowheads="1"/>
        </xdr:cNvSpPr>
      </xdr:nvSpPr>
      <xdr:spPr bwMode="auto">
        <a:xfrm>
          <a:off x="19517360" y="6197600"/>
          <a:ext cx="2921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22</xdr:col>
      <xdr:colOff>0</xdr:colOff>
      <xdr:row>40</xdr:row>
      <xdr:rowOff>0</xdr:rowOff>
    </xdr:from>
    <xdr:ext cx="292100" cy="152400"/>
    <xdr:sp macro="" textlink="">
      <xdr:nvSpPr>
        <xdr:cNvPr id="29914" name="AutoShape 22" descr="United States">
          <a:hlinkClick xmlns:r="http://schemas.openxmlformats.org/officeDocument/2006/relationships" r:id="rId2" tooltip="United States"/>
          <a:extLst>
            <a:ext uri="{FF2B5EF4-FFF2-40B4-BE49-F238E27FC236}">
              <a16:creationId xmlns:a16="http://schemas.microsoft.com/office/drawing/2014/main" id="{9D0CB0CC-546D-CE49-B6A8-8405B5CA3D00}"/>
            </a:ext>
          </a:extLst>
        </xdr:cNvPr>
        <xdr:cNvSpPr>
          <a:spLocks noChangeAspect="1" noChangeArrowheads="1"/>
        </xdr:cNvSpPr>
      </xdr:nvSpPr>
      <xdr:spPr bwMode="auto">
        <a:xfrm>
          <a:off x="19517360" y="6197600"/>
          <a:ext cx="2921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22</xdr:col>
      <xdr:colOff>0</xdr:colOff>
      <xdr:row>41</xdr:row>
      <xdr:rowOff>0</xdr:rowOff>
    </xdr:from>
    <xdr:ext cx="292100" cy="152400"/>
    <xdr:sp macro="" textlink="">
      <xdr:nvSpPr>
        <xdr:cNvPr id="29915" name="AutoShape 22" descr="United States">
          <a:hlinkClick xmlns:r="http://schemas.openxmlformats.org/officeDocument/2006/relationships" r:id="rId2" tooltip="United States"/>
          <a:extLst>
            <a:ext uri="{FF2B5EF4-FFF2-40B4-BE49-F238E27FC236}">
              <a16:creationId xmlns:a16="http://schemas.microsoft.com/office/drawing/2014/main" id="{F0A95C34-6686-5749-B3A8-054CF897A9E5}"/>
            </a:ext>
          </a:extLst>
        </xdr:cNvPr>
        <xdr:cNvSpPr>
          <a:spLocks noChangeAspect="1" noChangeArrowheads="1"/>
        </xdr:cNvSpPr>
      </xdr:nvSpPr>
      <xdr:spPr bwMode="auto">
        <a:xfrm>
          <a:off x="19517360" y="6197600"/>
          <a:ext cx="2921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22</xdr:col>
      <xdr:colOff>0</xdr:colOff>
      <xdr:row>42</xdr:row>
      <xdr:rowOff>0</xdr:rowOff>
    </xdr:from>
    <xdr:ext cx="292100" cy="152400"/>
    <xdr:sp macro="" textlink="">
      <xdr:nvSpPr>
        <xdr:cNvPr id="29916" name="AutoShape 22" descr="United States">
          <a:hlinkClick xmlns:r="http://schemas.openxmlformats.org/officeDocument/2006/relationships" r:id="rId2" tooltip="United States"/>
          <a:extLst>
            <a:ext uri="{FF2B5EF4-FFF2-40B4-BE49-F238E27FC236}">
              <a16:creationId xmlns:a16="http://schemas.microsoft.com/office/drawing/2014/main" id="{276696B5-1F0D-AC41-9F9D-1E9452B914DE}"/>
            </a:ext>
          </a:extLst>
        </xdr:cNvPr>
        <xdr:cNvSpPr>
          <a:spLocks noChangeAspect="1" noChangeArrowheads="1"/>
        </xdr:cNvSpPr>
      </xdr:nvSpPr>
      <xdr:spPr bwMode="auto">
        <a:xfrm>
          <a:off x="19517360" y="6197600"/>
          <a:ext cx="2921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22</xdr:col>
      <xdr:colOff>0</xdr:colOff>
      <xdr:row>43</xdr:row>
      <xdr:rowOff>0</xdr:rowOff>
    </xdr:from>
    <xdr:ext cx="292100" cy="152400"/>
    <xdr:sp macro="" textlink="">
      <xdr:nvSpPr>
        <xdr:cNvPr id="29917" name="AutoShape 22" descr="United States">
          <a:hlinkClick xmlns:r="http://schemas.openxmlformats.org/officeDocument/2006/relationships" r:id="rId2" tooltip="United States"/>
          <a:extLst>
            <a:ext uri="{FF2B5EF4-FFF2-40B4-BE49-F238E27FC236}">
              <a16:creationId xmlns:a16="http://schemas.microsoft.com/office/drawing/2014/main" id="{A21330C2-BFF4-C745-9725-E389730AC384}"/>
            </a:ext>
          </a:extLst>
        </xdr:cNvPr>
        <xdr:cNvSpPr>
          <a:spLocks noChangeAspect="1" noChangeArrowheads="1"/>
        </xdr:cNvSpPr>
      </xdr:nvSpPr>
      <xdr:spPr bwMode="auto">
        <a:xfrm>
          <a:off x="19517360" y="6197600"/>
          <a:ext cx="2921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22</xdr:col>
      <xdr:colOff>0</xdr:colOff>
      <xdr:row>44</xdr:row>
      <xdr:rowOff>0</xdr:rowOff>
    </xdr:from>
    <xdr:ext cx="292100" cy="152400"/>
    <xdr:sp macro="" textlink="">
      <xdr:nvSpPr>
        <xdr:cNvPr id="29918" name="AutoShape 22" descr="United States">
          <a:hlinkClick xmlns:r="http://schemas.openxmlformats.org/officeDocument/2006/relationships" r:id="rId2" tooltip="United States"/>
          <a:extLst>
            <a:ext uri="{FF2B5EF4-FFF2-40B4-BE49-F238E27FC236}">
              <a16:creationId xmlns:a16="http://schemas.microsoft.com/office/drawing/2014/main" id="{6E6B1A5A-72CA-4045-A55A-33E525623C9E}"/>
            </a:ext>
          </a:extLst>
        </xdr:cNvPr>
        <xdr:cNvSpPr>
          <a:spLocks noChangeAspect="1" noChangeArrowheads="1"/>
        </xdr:cNvSpPr>
      </xdr:nvSpPr>
      <xdr:spPr bwMode="auto">
        <a:xfrm>
          <a:off x="19517360" y="6197600"/>
          <a:ext cx="2921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22</xdr:col>
      <xdr:colOff>0</xdr:colOff>
      <xdr:row>45</xdr:row>
      <xdr:rowOff>0</xdr:rowOff>
    </xdr:from>
    <xdr:ext cx="292100" cy="152400"/>
    <xdr:sp macro="" textlink="">
      <xdr:nvSpPr>
        <xdr:cNvPr id="29919" name="AutoShape 22" descr="United States">
          <a:hlinkClick xmlns:r="http://schemas.openxmlformats.org/officeDocument/2006/relationships" r:id="rId2" tooltip="United States"/>
          <a:extLst>
            <a:ext uri="{FF2B5EF4-FFF2-40B4-BE49-F238E27FC236}">
              <a16:creationId xmlns:a16="http://schemas.microsoft.com/office/drawing/2014/main" id="{D63B25CA-ED76-DF41-BB3C-EFAC4B38105D}"/>
            </a:ext>
          </a:extLst>
        </xdr:cNvPr>
        <xdr:cNvSpPr>
          <a:spLocks noChangeAspect="1" noChangeArrowheads="1"/>
        </xdr:cNvSpPr>
      </xdr:nvSpPr>
      <xdr:spPr bwMode="auto">
        <a:xfrm>
          <a:off x="19517360" y="6197600"/>
          <a:ext cx="2921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22</xdr:col>
      <xdr:colOff>0</xdr:colOff>
      <xdr:row>46</xdr:row>
      <xdr:rowOff>0</xdr:rowOff>
    </xdr:from>
    <xdr:ext cx="292100" cy="152400"/>
    <xdr:sp macro="" textlink="">
      <xdr:nvSpPr>
        <xdr:cNvPr id="29920" name="AutoShape 22" descr="United States">
          <a:hlinkClick xmlns:r="http://schemas.openxmlformats.org/officeDocument/2006/relationships" r:id="rId2" tooltip="United States"/>
          <a:extLst>
            <a:ext uri="{FF2B5EF4-FFF2-40B4-BE49-F238E27FC236}">
              <a16:creationId xmlns:a16="http://schemas.microsoft.com/office/drawing/2014/main" id="{9EFA3075-2057-EB4E-B9B3-34F012BDF12F}"/>
            </a:ext>
          </a:extLst>
        </xdr:cNvPr>
        <xdr:cNvSpPr>
          <a:spLocks noChangeAspect="1" noChangeArrowheads="1"/>
        </xdr:cNvSpPr>
      </xdr:nvSpPr>
      <xdr:spPr bwMode="auto">
        <a:xfrm>
          <a:off x="19517360" y="6197600"/>
          <a:ext cx="2921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22</xdr:col>
      <xdr:colOff>0</xdr:colOff>
      <xdr:row>47</xdr:row>
      <xdr:rowOff>0</xdr:rowOff>
    </xdr:from>
    <xdr:ext cx="292100" cy="152400"/>
    <xdr:sp macro="" textlink="">
      <xdr:nvSpPr>
        <xdr:cNvPr id="29921" name="AutoShape 22" descr="United States">
          <a:hlinkClick xmlns:r="http://schemas.openxmlformats.org/officeDocument/2006/relationships" r:id="rId2" tooltip="United States"/>
          <a:extLst>
            <a:ext uri="{FF2B5EF4-FFF2-40B4-BE49-F238E27FC236}">
              <a16:creationId xmlns:a16="http://schemas.microsoft.com/office/drawing/2014/main" id="{78908FA8-BDD5-6B43-83F7-37C738C7DF2D}"/>
            </a:ext>
          </a:extLst>
        </xdr:cNvPr>
        <xdr:cNvSpPr>
          <a:spLocks noChangeAspect="1" noChangeArrowheads="1"/>
        </xdr:cNvSpPr>
      </xdr:nvSpPr>
      <xdr:spPr bwMode="auto">
        <a:xfrm>
          <a:off x="19517360" y="6197600"/>
          <a:ext cx="2921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20</xdr:col>
      <xdr:colOff>0</xdr:colOff>
      <xdr:row>28</xdr:row>
      <xdr:rowOff>0</xdr:rowOff>
    </xdr:from>
    <xdr:ext cx="292100" cy="165100"/>
    <xdr:sp macro="" textlink="">
      <xdr:nvSpPr>
        <xdr:cNvPr id="29922" name="AutoShape 20" descr="Mexico">
          <a:hlinkClick xmlns:r="http://schemas.openxmlformats.org/officeDocument/2006/relationships" r:id="rId14" tooltip="Mexico"/>
          <a:extLst>
            <a:ext uri="{FF2B5EF4-FFF2-40B4-BE49-F238E27FC236}">
              <a16:creationId xmlns:a16="http://schemas.microsoft.com/office/drawing/2014/main" id="{E9F91E82-313B-FB48-BB0B-A6250C74F438}"/>
            </a:ext>
          </a:extLst>
        </xdr:cNvPr>
        <xdr:cNvSpPr>
          <a:spLocks noChangeAspect="1" noChangeArrowheads="1"/>
        </xdr:cNvSpPr>
      </xdr:nvSpPr>
      <xdr:spPr bwMode="auto">
        <a:xfrm>
          <a:off x="17871440" y="6197600"/>
          <a:ext cx="292100" cy="165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20</xdr:col>
      <xdr:colOff>0</xdr:colOff>
      <xdr:row>29</xdr:row>
      <xdr:rowOff>0</xdr:rowOff>
    </xdr:from>
    <xdr:ext cx="292100" cy="165100"/>
    <xdr:sp macro="" textlink="">
      <xdr:nvSpPr>
        <xdr:cNvPr id="29923" name="AutoShape 20" descr="Mexico">
          <a:hlinkClick xmlns:r="http://schemas.openxmlformats.org/officeDocument/2006/relationships" r:id="rId14" tooltip="Mexico"/>
          <a:extLst>
            <a:ext uri="{FF2B5EF4-FFF2-40B4-BE49-F238E27FC236}">
              <a16:creationId xmlns:a16="http://schemas.microsoft.com/office/drawing/2014/main" id="{254645B4-A3B1-0A46-8CFB-00C6D6DBAE3A}"/>
            </a:ext>
          </a:extLst>
        </xdr:cNvPr>
        <xdr:cNvSpPr>
          <a:spLocks noChangeAspect="1" noChangeArrowheads="1"/>
        </xdr:cNvSpPr>
      </xdr:nvSpPr>
      <xdr:spPr bwMode="auto">
        <a:xfrm>
          <a:off x="17871440" y="6197600"/>
          <a:ext cx="292100" cy="165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20</xdr:col>
      <xdr:colOff>0</xdr:colOff>
      <xdr:row>30</xdr:row>
      <xdr:rowOff>0</xdr:rowOff>
    </xdr:from>
    <xdr:ext cx="292100" cy="165100"/>
    <xdr:sp macro="" textlink="">
      <xdr:nvSpPr>
        <xdr:cNvPr id="29924" name="AutoShape 20" descr="Mexico">
          <a:hlinkClick xmlns:r="http://schemas.openxmlformats.org/officeDocument/2006/relationships" r:id="rId14" tooltip="Mexico"/>
          <a:extLst>
            <a:ext uri="{FF2B5EF4-FFF2-40B4-BE49-F238E27FC236}">
              <a16:creationId xmlns:a16="http://schemas.microsoft.com/office/drawing/2014/main" id="{05C6754A-8A6C-B044-8E49-0CD339C45C90}"/>
            </a:ext>
          </a:extLst>
        </xdr:cNvPr>
        <xdr:cNvSpPr>
          <a:spLocks noChangeAspect="1" noChangeArrowheads="1"/>
        </xdr:cNvSpPr>
      </xdr:nvSpPr>
      <xdr:spPr bwMode="auto">
        <a:xfrm>
          <a:off x="17871440" y="6197600"/>
          <a:ext cx="292100" cy="165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20</xdr:col>
      <xdr:colOff>0</xdr:colOff>
      <xdr:row>31</xdr:row>
      <xdr:rowOff>0</xdr:rowOff>
    </xdr:from>
    <xdr:ext cx="292100" cy="165100"/>
    <xdr:sp macro="" textlink="">
      <xdr:nvSpPr>
        <xdr:cNvPr id="29925" name="AutoShape 20" descr="Mexico">
          <a:hlinkClick xmlns:r="http://schemas.openxmlformats.org/officeDocument/2006/relationships" r:id="rId14" tooltip="Mexico"/>
          <a:extLst>
            <a:ext uri="{FF2B5EF4-FFF2-40B4-BE49-F238E27FC236}">
              <a16:creationId xmlns:a16="http://schemas.microsoft.com/office/drawing/2014/main" id="{B78FD51E-657C-6749-B5B9-900347CA8734}"/>
            </a:ext>
          </a:extLst>
        </xdr:cNvPr>
        <xdr:cNvSpPr>
          <a:spLocks noChangeAspect="1" noChangeArrowheads="1"/>
        </xdr:cNvSpPr>
      </xdr:nvSpPr>
      <xdr:spPr bwMode="auto">
        <a:xfrm>
          <a:off x="17871440" y="6197600"/>
          <a:ext cx="292100" cy="165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20</xdr:col>
      <xdr:colOff>0</xdr:colOff>
      <xdr:row>32</xdr:row>
      <xdr:rowOff>0</xdr:rowOff>
    </xdr:from>
    <xdr:ext cx="292100" cy="165100"/>
    <xdr:sp macro="" textlink="">
      <xdr:nvSpPr>
        <xdr:cNvPr id="29926" name="AutoShape 20" descr="Mexico">
          <a:hlinkClick xmlns:r="http://schemas.openxmlformats.org/officeDocument/2006/relationships" r:id="rId14" tooltip="Mexico"/>
          <a:extLst>
            <a:ext uri="{FF2B5EF4-FFF2-40B4-BE49-F238E27FC236}">
              <a16:creationId xmlns:a16="http://schemas.microsoft.com/office/drawing/2014/main" id="{65D5524D-EB81-C146-BB4A-C54BC87EEF60}"/>
            </a:ext>
          </a:extLst>
        </xdr:cNvPr>
        <xdr:cNvSpPr>
          <a:spLocks noChangeAspect="1" noChangeArrowheads="1"/>
        </xdr:cNvSpPr>
      </xdr:nvSpPr>
      <xdr:spPr bwMode="auto">
        <a:xfrm>
          <a:off x="17871440" y="6197600"/>
          <a:ext cx="292100" cy="165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20</xdr:col>
      <xdr:colOff>0</xdr:colOff>
      <xdr:row>33</xdr:row>
      <xdr:rowOff>0</xdr:rowOff>
    </xdr:from>
    <xdr:ext cx="292100" cy="165100"/>
    <xdr:sp macro="" textlink="">
      <xdr:nvSpPr>
        <xdr:cNvPr id="29927" name="AutoShape 20" descr="Mexico">
          <a:hlinkClick xmlns:r="http://schemas.openxmlformats.org/officeDocument/2006/relationships" r:id="rId14" tooltip="Mexico"/>
          <a:extLst>
            <a:ext uri="{FF2B5EF4-FFF2-40B4-BE49-F238E27FC236}">
              <a16:creationId xmlns:a16="http://schemas.microsoft.com/office/drawing/2014/main" id="{A8B762B0-A5AE-CC4A-8265-A7BBB79048C0}"/>
            </a:ext>
          </a:extLst>
        </xdr:cNvPr>
        <xdr:cNvSpPr>
          <a:spLocks noChangeAspect="1" noChangeArrowheads="1"/>
        </xdr:cNvSpPr>
      </xdr:nvSpPr>
      <xdr:spPr bwMode="auto">
        <a:xfrm>
          <a:off x="17871440" y="6197600"/>
          <a:ext cx="292100" cy="165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20</xdr:col>
      <xdr:colOff>0</xdr:colOff>
      <xdr:row>34</xdr:row>
      <xdr:rowOff>0</xdr:rowOff>
    </xdr:from>
    <xdr:ext cx="292100" cy="165100"/>
    <xdr:sp macro="" textlink="">
      <xdr:nvSpPr>
        <xdr:cNvPr id="29928" name="AutoShape 20" descr="Mexico">
          <a:hlinkClick xmlns:r="http://schemas.openxmlformats.org/officeDocument/2006/relationships" r:id="rId14" tooltip="Mexico"/>
          <a:extLst>
            <a:ext uri="{FF2B5EF4-FFF2-40B4-BE49-F238E27FC236}">
              <a16:creationId xmlns:a16="http://schemas.microsoft.com/office/drawing/2014/main" id="{5525E6F1-2C12-8D42-B52C-99D688610370}"/>
            </a:ext>
          </a:extLst>
        </xdr:cNvPr>
        <xdr:cNvSpPr>
          <a:spLocks noChangeAspect="1" noChangeArrowheads="1"/>
        </xdr:cNvSpPr>
      </xdr:nvSpPr>
      <xdr:spPr bwMode="auto">
        <a:xfrm>
          <a:off x="17871440" y="6197600"/>
          <a:ext cx="292100" cy="165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20</xdr:col>
      <xdr:colOff>0</xdr:colOff>
      <xdr:row>35</xdr:row>
      <xdr:rowOff>0</xdr:rowOff>
    </xdr:from>
    <xdr:ext cx="292100" cy="165100"/>
    <xdr:sp macro="" textlink="">
      <xdr:nvSpPr>
        <xdr:cNvPr id="29929" name="AutoShape 20" descr="Mexico">
          <a:hlinkClick xmlns:r="http://schemas.openxmlformats.org/officeDocument/2006/relationships" r:id="rId14" tooltip="Mexico"/>
          <a:extLst>
            <a:ext uri="{FF2B5EF4-FFF2-40B4-BE49-F238E27FC236}">
              <a16:creationId xmlns:a16="http://schemas.microsoft.com/office/drawing/2014/main" id="{4BCF370E-78EA-284C-8AAE-7475FAA37CAA}"/>
            </a:ext>
          </a:extLst>
        </xdr:cNvPr>
        <xdr:cNvSpPr>
          <a:spLocks noChangeAspect="1" noChangeArrowheads="1"/>
        </xdr:cNvSpPr>
      </xdr:nvSpPr>
      <xdr:spPr bwMode="auto">
        <a:xfrm>
          <a:off x="17871440" y="6197600"/>
          <a:ext cx="292100" cy="165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20</xdr:col>
      <xdr:colOff>0</xdr:colOff>
      <xdr:row>36</xdr:row>
      <xdr:rowOff>0</xdr:rowOff>
    </xdr:from>
    <xdr:ext cx="292100" cy="165100"/>
    <xdr:sp macro="" textlink="">
      <xdr:nvSpPr>
        <xdr:cNvPr id="29930" name="AutoShape 20" descr="Mexico">
          <a:hlinkClick xmlns:r="http://schemas.openxmlformats.org/officeDocument/2006/relationships" r:id="rId14" tooltip="Mexico"/>
          <a:extLst>
            <a:ext uri="{FF2B5EF4-FFF2-40B4-BE49-F238E27FC236}">
              <a16:creationId xmlns:a16="http://schemas.microsoft.com/office/drawing/2014/main" id="{C91D6F70-C85E-7E48-BC33-B90668B14787}"/>
            </a:ext>
          </a:extLst>
        </xdr:cNvPr>
        <xdr:cNvSpPr>
          <a:spLocks noChangeAspect="1" noChangeArrowheads="1"/>
        </xdr:cNvSpPr>
      </xdr:nvSpPr>
      <xdr:spPr bwMode="auto">
        <a:xfrm>
          <a:off x="17871440" y="6197600"/>
          <a:ext cx="292100" cy="165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20</xdr:col>
      <xdr:colOff>0</xdr:colOff>
      <xdr:row>37</xdr:row>
      <xdr:rowOff>0</xdr:rowOff>
    </xdr:from>
    <xdr:ext cx="292100" cy="165100"/>
    <xdr:sp macro="" textlink="">
      <xdr:nvSpPr>
        <xdr:cNvPr id="29931" name="AutoShape 20" descr="Mexico">
          <a:hlinkClick xmlns:r="http://schemas.openxmlformats.org/officeDocument/2006/relationships" r:id="rId14" tooltip="Mexico"/>
          <a:extLst>
            <a:ext uri="{FF2B5EF4-FFF2-40B4-BE49-F238E27FC236}">
              <a16:creationId xmlns:a16="http://schemas.microsoft.com/office/drawing/2014/main" id="{F70C7C77-CAC0-384B-866D-25D85D26FD6C}"/>
            </a:ext>
          </a:extLst>
        </xdr:cNvPr>
        <xdr:cNvSpPr>
          <a:spLocks noChangeAspect="1" noChangeArrowheads="1"/>
        </xdr:cNvSpPr>
      </xdr:nvSpPr>
      <xdr:spPr bwMode="auto">
        <a:xfrm>
          <a:off x="17871440" y="6197600"/>
          <a:ext cx="292100" cy="165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20</xdr:col>
      <xdr:colOff>0</xdr:colOff>
      <xdr:row>38</xdr:row>
      <xdr:rowOff>0</xdr:rowOff>
    </xdr:from>
    <xdr:ext cx="292100" cy="165100"/>
    <xdr:sp macro="" textlink="">
      <xdr:nvSpPr>
        <xdr:cNvPr id="29932" name="AutoShape 20" descr="Mexico">
          <a:hlinkClick xmlns:r="http://schemas.openxmlformats.org/officeDocument/2006/relationships" r:id="rId14" tooltip="Mexico"/>
          <a:extLst>
            <a:ext uri="{FF2B5EF4-FFF2-40B4-BE49-F238E27FC236}">
              <a16:creationId xmlns:a16="http://schemas.microsoft.com/office/drawing/2014/main" id="{994FF318-528E-C34E-B6EB-12376DB96478}"/>
            </a:ext>
          </a:extLst>
        </xdr:cNvPr>
        <xdr:cNvSpPr>
          <a:spLocks noChangeAspect="1" noChangeArrowheads="1"/>
        </xdr:cNvSpPr>
      </xdr:nvSpPr>
      <xdr:spPr bwMode="auto">
        <a:xfrm>
          <a:off x="17871440" y="6197600"/>
          <a:ext cx="292100" cy="165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20</xdr:col>
      <xdr:colOff>0</xdr:colOff>
      <xdr:row>39</xdr:row>
      <xdr:rowOff>0</xdr:rowOff>
    </xdr:from>
    <xdr:ext cx="292100" cy="165100"/>
    <xdr:sp macro="" textlink="">
      <xdr:nvSpPr>
        <xdr:cNvPr id="29933" name="AutoShape 20" descr="Mexico">
          <a:hlinkClick xmlns:r="http://schemas.openxmlformats.org/officeDocument/2006/relationships" r:id="rId14" tooltip="Mexico"/>
          <a:extLst>
            <a:ext uri="{FF2B5EF4-FFF2-40B4-BE49-F238E27FC236}">
              <a16:creationId xmlns:a16="http://schemas.microsoft.com/office/drawing/2014/main" id="{71661E6A-3366-3C47-868D-5D54F89E5540}"/>
            </a:ext>
          </a:extLst>
        </xdr:cNvPr>
        <xdr:cNvSpPr>
          <a:spLocks noChangeAspect="1" noChangeArrowheads="1"/>
        </xdr:cNvSpPr>
      </xdr:nvSpPr>
      <xdr:spPr bwMode="auto">
        <a:xfrm>
          <a:off x="17871440" y="6197600"/>
          <a:ext cx="292100" cy="165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20</xdr:col>
      <xdr:colOff>0</xdr:colOff>
      <xdr:row>40</xdr:row>
      <xdr:rowOff>0</xdr:rowOff>
    </xdr:from>
    <xdr:ext cx="292100" cy="165100"/>
    <xdr:sp macro="" textlink="">
      <xdr:nvSpPr>
        <xdr:cNvPr id="29934" name="AutoShape 20" descr="Mexico">
          <a:hlinkClick xmlns:r="http://schemas.openxmlformats.org/officeDocument/2006/relationships" r:id="rId14" tooltip="Mexico"/>
          <a:extLst>
            <a:ext uri="{FF2B5EF4-FFF2-40B4-BE49-F238E27FC236}">
              <a16:creationId xmlns:a16="http://schemas.microsoft.com/office/drawing/2014/main" id="{B92E8970-3295-664D-870E-9BAC5A1A3095}"/>
            </a:ext>
          </a:extLst>
        </xdr:cNvPr>
        <xdr:cNvSpPr>
          <a:spLocks noChangeAspect="1" noChangeArrowheads="1"/>
        </xdr:cNvSpPr>
      </xdr:nvSpPr>
      <xdr:spPr bwMode="auto">
        <a:xfrm>
          <a:off x="17871440" y="6197600"/>
          <a:ext cx="292100" cy="165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20</xdr:col>
      <xdr:colOff>0</xdr:colOff>
      <xdr:row>41</xdr:row>
      <xdr:rowOff>0</xdr:rowOff>
    </xdr:from>
    <xdr:ext cx="292100" cy="165100"/>
    <xdr:sp macro="" textlink="">
      <xdr:nvSpPr>
        <xdr:cNvPr id="29935" name="AutoShape 20" descr="Mexico">
          <a:hlinkClick xmlns:r="http://schemas.openxmlformats.org/officeDocument/2006/relationships" r:id="rId14" tooltip="Mexico"/>
          <a:extLst>
            <a:ext uri="{FF2B5EF4-FFF2-40B4-BE49-F238E27FC236}">
              <a16:creationId xmlns:a16="http://schemas.microsoft.com/office/drawing/2014/main" id="{DBF630D9-DB10-4B4C-9508-529326C8F557}"/>
            </a:ext>
          </a:extLst>
        </xdr:cNvPr>
        <xdr:cNvSpPr>
          <a:spLocks noChangeAspect="1" noChangeArrowheads="1"/>
        </xdr:cNvSpPr>
      </xdr:nvSpPr>
      <xdr:spPr bwMode="auto">
        <a:xfrm>
          <a:off x="17871440" y="6197600"/>
          <a:ext cx="292100" cy="165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20</xdr:col>
      <xdr:colOff>0</xdr:colOff>
      <xdr:row>42</xdr:row>
      <xdr:rowOff>0</xdr:rowOff>
    </xdr:from>
    <xdr:ext cx="292100" cy="165100"/>
    <xdr:sp macro="" textlink="">
      <xdr:nvSpPr>
        <xdr:cNvPr id="29936" name="AutoShape 20" descr="Mexico">
          <a:hlinkClick xmlns:r="http://schemas.openxmlformats.org/officeDocument/2006/relationships" r:id="rId14" tooltip="Mexico"/>
          <a:extLst>
            <a:ext uri="{FF2B5EF4-FFF2-40B4-BE49-F238E27FC236}">
              <a16:creationId xmlns:a16="http://schemas.microsoft.com/office/drawing/2014/main" id="{1ABC72F1-0D6B-524E-AA9C-8450CC71FA42}"/>
            </a:ext>
          </a:extLst>
        </xdr:cNvPr>
        <xdr:cNvSpPr>
          <a:spLocks noChangeAspect="1" noChangeArrowheads="1"/>
        </xdr:cNvSpPr>
      </xdr:nvSpPr>
      <xdr:spPr bwMode="auto">
        <a:xfrm>
          <a:off x="17871440" y="6197600"/>
          <a:ext cx="292100" cy="165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20</xdr:col>
      <xdr:colOff>0</xdr:colOff>
      <xdr:row>43</xdr:row>
      <xdr:rowOff>0</xdr:rowOff>
    </xdr:from>
    <xdr:ext cx="292100" cy="165100"/>
    <xdr:sp macro="" textlink="">
      <xdr:nvSpPr>
        <xdr:cNvPr id="29937" name="AutoShape 20" descr="Mexico">
          <a:hlinkClick xmlns:r="http://schemas.openxmlformats.org/officeDocument/2006/relationships" r:id="rId14" tooltip="Mexico"/>
          <a:extLst>
            <a:ext uri="{FF2B5EF4-FFF2-40B4-BE49-F238E27FC236}">
              <a16:creationId xmlns:a16="http://schemas.microsoft.com/office/drawing/2014/main" id="{F98EA9E3-0CB6-454C-95F0-AB67110750C9}"/>
            </a:ext>
          </a:extLst>
        </xdr:cNvPr>
        <xdr:cNvSpPr>
          <a:spLocks noChangeAspect="1" noChangeArrowheads="1"/>
        </xdr:cNvSpPr>
      </xdr:nvSpPr>
      <xdr:spPr bwMode="auto">
        <a:xfrm>
          <a:off x="17871440" y="6197600"/>
          <a:ext cx="292100" cy="165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20</xdr:col>
      <xdr:colOff>0</xdr:colOff>
      <xdr:row>44</xdr:row>
      <xdr:rowOff>0</xdr:rowOff>
    </xdr:from>
    <xdr:ext cx="292100" cy="165100"/>
    <xdr:sp macro="" textlink="">
      <xdr:nvSpPr>
        <xdr:cNvPr id="29938" name="AutoShape 20" descr="Mexico">
          <a:hlinkClick xmlns:r="http://schemas.openxmlformats.org/officeDocument/2006/relationships" r:id="rId14" tooltip="Mexico"/>
          <a:extLst>
            <a:ext uri="{FF2B5EF4-FFF2-40B4-BE49-F238E27FC236}">
              <a16:creationId xmlns:a16="http://schemas.microsoft.com/office/drawing/2014/main" id="{1AACF6E6-F662-3441-A8BF-D9005D290410}"/>
            </a:ext>
          </a:extLst>
        </xdr:cNvPr>
        <xdr:cNvSpPr>
          <a:spLocks noChangeAspect="1" noChangeArrowheads="1"/>
        </xdr:cNvSpPr>
      </xdr:nvSpPr>
      <xdr:spPr bwMode="auto">
        <a:xfrm>
          <a:off x="17871440" y="6197600"/>
          <a:ext cx="292100" cy="165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20</xdr:col>
      <xdr:colOff>0</xdr:colOff>
      <xdr:row>45</xdr:row>
      <xdr:rowOff>0</xdr:rowOff>
    </xdr:from>
    <xdr:ext cx="292100" cy="165100"/>
    <xdr:sp macro="" textlink="">
      <xdr:nvSpPr>
        <xdr:cNvPr id="29939" name="AutoShape 20" descr="Mexico">
          <a:hlinkClick xmlns:r="http://schemas.openxmlformats.org/officeDocument/2006/relationships" r:id="rId14" tooltip="Mexico"/>
          <a:extLst>
            <a:ext uri="{FF2B5EF4-FFF2-40B4-BE49-F238E27FC236}">
              <a16:creationId xmlns:a16="http://schemas.microsoft.com/office/drawing/2014/main" id="{7F370AD0-3DF5-9C41-8D62-CE6B81B3A0BB}"/>
            </a:ext>
          </a:extLst>
        </xdr:cNvPr>
        <xdr:cNvSpPr>
          <a:spLocks noChangeAspect="1" noChangeArrowheads="1"/>
        </xdr:cNvSpPr>
      </xdr:nvSpPr>
      <xdr:spPr bwMode="auto">
        <a:xfrm>
          <a:off x="17871440" y="6197600"/>
          <a:ext cx="292100" cy="165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20</xdr:col>
      <xdr:colOff>0</xdr:colOff>
      <xdr:row>46</xdr:row>
      <xdr:rowOff>0</xdr:rowOff>
    </xdr:from>
    <xdr:ext cx="292100" cy="165100"/>
    <xdr:sp macro="" textlink="">
      <xdr:nvSpPr>
        <xdr:cNvPr id="29940" name="AutoShape 20" descr="Mexico">
          <a:hlinkClick xmlns:r="http://schemas.openxmlformats.org/officeDocument/2006/relationships" r:id="rId14" tooltip="Mexico"/>
          <a:extLst>
            <a:ext uri="{FF2B5EF4-FFF2-40B4-BE49-F238E27FC236}">
              <a16:creationId xmlns:a16="http://schemas.microsoft.com/office/drawing/2014/main" id="{22074E92-5CF0-524F-9D03-F9DD7FA1C98B}"/>
            </a:ext>
          </a:extLst>
        </xdr:cNvPr>
        <xdr:cNvSpPr>
          <a:spLocks noChangeAspect="1" noChangeArrowheads="1"/>
        </xdr:cNvSpPr>
      </xdr:nvSpPr>
      <xdr:spPr bwMode="auto">
        <a:xfrm>
          <a:off x="17871440" y="6197600"/>
          <a:ext cx="292100" cy="165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20</xdr:col>
      <xdr:colOff>0</xdr:colOff>
      <xdr:row>47</xdr:row>
      <xdr:rowOff>0</xdr:rowOff>
    </xdr:from>
    <xdr:ext cx="292100" cy="165100"/>
    <xdr:sp macro="" textlink="">
      <xdr:nvSpPr>
        <xdr:cNvPr id="29941" name="AutoShape 20" descr="Mexico">
          <a:hlinkClick xmlns:r="http://schemas.openxmlformats.org/officeDocument/2006/relationships" r:id="rId14" tooltip="Mexico"/>
          <a:extLst>
            <a:ext uri="{FF2B5EF4-FFF2-40B4-BE49-F238E27FC236}">
              <a16:creationId xmlns:a16="http://schemas.microsoft.com/office/drawing/2014/main" id="{979A41A3-26FD-D340-89B7-3DB298C1808C}"/>
            </a:ext>
          </a:extLst>
        </xdr:cNvPr>
        <xdr:cNvSpPr>
          <a:spLocks noChangeAspect="1" noChangeArrowheads="1"/>
        </xdr:cNvSpPr>
      </xdr:nvSpPr>
      <xdr:spPr bwMode="auto">
        <a:xfrm>
          <a:off x="17871440" y="6197600"/>
          <a:ext cx="292100" cy="165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wsDr>
</file>

<file path=xl/drawings/drawing3.xml><?xml version="1.0" encoding="utf-8"?>
<xdr:wsDr xmlns:xdr="http://schemas.openxmlformats.org/drawingml/2006/spreadsheetDrawing" xmlns:a="http://schemas.openxmlformats.org/drawingml/2006/main">
  <xdr:twoCellAnchor editAs="oneCell">
    <xdr:from>
      <xdr:col>5</xdr:col>
      <xdr:colOff>0</xdr:colOff>
      <xdr:row>2</xdr:row>
      <xdr:rowOff>0</xdr:rowOff>
    </xdr:from>
    <xdr:to>
      <xdr:col>5</xdr:col>
      <xdr:colOff>292100</xdr:colOff>
      <xdr:row>2</xdr:row>
      <xdr:rowOff>190500</xdr:rowOff>
    </xdr:to>
    <xdr:sp macro="" textlink="">
      <xdr:nvSpPr>
        <xdr:cNvPr id="2" name="AutoShape 5" descr="Saudi Arabia">
          <a:hlinkClick xmlns:r="http://schemas.openxmlformats.org/officeDocument/2006/relationships" r:id="rId1" tooltip="Saudi Arabia"/>
          <a:extLst>
            <a:ext uri="{FF2B5EF4-FFF2-40B4-BE49-F238E27FC236}">
              <a16:creationId xmlns:a16="http://schemas.microsoft.com/office/drawing/2014/main" id="{67E28CAA-90A2-BB44-BD5A-D3EB675906F5}"/>
            </a:ext>
          </a:extLst>
        </xdr:cNvPr>
        <xdr:cNvSpPr>
          <a:spLocks noChangeAspect="1" noChangeArrowheads="1"/>
        </xdr:cNvSpPr>
      </xdr:nvSpPr>
      <xdr:spPr bwMode="auto">
        <a:xfrm>
          <a:off x="5486400" y="431800"/>
          <a:ext cx="2921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0</xdr:colOff>
      <xdr:row>2</xdr:row>
      <xdr:rowOff>0</xdr:rowOff>
    </xdr:from>
    <xdr:to>
      <xdr:col>6</xdr:col>
      <xdr:colOff>292100</xdr:colOff>
      <xdr:row>2</xdr:row>
      <xdr:rowOff>152400</xdr:rowOff>
    </xdr:to>
    <xdr:sp macro="" textlink="">
      <xdr:nvSpPr>
        <xdr:cNvPr id="3" name="AutoShape 6" descr="United States">
          <a:hlinkClick xmlns:r="http://schemas.openxmlformats.org/officeDocument/2006/relationships" r:id="rId2" tooltip="United States"/>
          <a:extLst>
            <a:ext uri="{FF2B5EF4-FFF2-40B4-BE49-F238E27FC236}">
              <a16:creationId xmlns:a16="http://schemas.microsoft.com/office/drawing/2014/main" id="{70004B47-B472-6742-8820-51E28987638F}"/>
            </a:ext>
          </a:extLst>
        </xdr:cNvPr>
        <xdr:cNvSpPr>
          <a:spLocks noChangeAspect="1" noChangeArrowheads="1"/>
        </xdr:cNvSpPr>
      </xdr:nvSpPr>
      <xdr:spPr bwMode="auto">
        <a:xfrm>
          <a:off x="6311900" y="431800"/>
          <a:ext cx="2921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2</xdr:row>
      <xdr:rowOff>0</xdr:rowOff>
    </xdr:from>
    <xdr:to>
      <xdr:col>7</xdr:col>
      <xdr:colOff>292100</xdr:colOff>
      <xdr:row>2</xdr:row>
      <xdr:rowOff>190500</xdr:rowOff>
    </xdr:to>
    <xdr:sp macro="" textlink="">
      <xdr:nvSpPr>
        <xdr:cNvPr id="4" name="AutoShape 7" descr="Italy">
          <a:hlinkClick xmlns:r="http://schemas.openxmlformats.org/officeDocument/2006/relationships" r:id="rId3" tooltip="Italy"/>
          <a:extLst>
            <a:ext uri="{FF2B5EF4-FFF2-40B4-BE49-F238E27FC236}">
              <a16:creationId xmlns:a16="http://schemas.microsoft.com/office/drawing/2014/main" id="{F63C827B-5F4D-AA46-A49F-C7C356D30AA4}"/>
            </a:ext>
          </a:extLst>
        </xdr:cNvPr>
        <xdr:cNvSpPr>
          <a:spLocks noChangeAspect="1" noChangeArrowheads="1"/>
        </xdr:cNvSpPr>
      </xdr:nvSpPr>
      <xdr:spPr bwMode="auto">
        <a:xfrm>
          <a:off x="7137400" y="431800"/>
          <a:ext cx="2921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2</xdr:row>
      <xdr:rowOff>0</xdr:rowOff>
    </xdr:from>
    <xdr:to>
      <xdr:col>8</xdr:col>
      <xdr:colOff>241300</xdr:colOff>
      <xdr:row>2</xdr:row>
      <xdr:rowOff>190500</xdr:rowOff>
    </xdr:to>
    <xdr:sp macro="" textlink="">
      <xdr:nvSpPr>
        <xdr:cNvPr id="5" name="AutoShape 8" descr="Monaco">
          <a:hlinkClick xmlns:r="http://schemas.openxmlformats.org/officeDocument/2006/relationships" r:id="rId4" tooltip="Monaco"/>
          <a:extLst>
            <a:ext uri="{FF2B5EF4-FFF2-40B4-BE49-F238E27FC236}">
              <a16:creationId xmlns:a16="http://schemas.microsoft.com/office/drawing/2014/main" id="{380EC379-50E3-DA42-9ED9-45B652CCE482}"/>
            </a:ext>
          </a:extLst>
        </xdr:cNvPr>
        <xdr:cNvSpPr>
          <a:spLocks noChangeAspect="1" noChangeArrowheads="1"/>
        </xdr:cNvSpPr>
      </xdr:nvSpPr>
      <xdr:spPr bwMode="auto">
        <a:xfrm>
          <a:off x="7962900" y="431800"/>
          <a:ext cx="2413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2</xdr:row>
      <xdr:rowOff>0</xdr:rowOff>
    </xdr:from>
    <xdr:to>
      <xdr:col>9</xdr:col>
      <xdr:colOff>292100</xdr:colOff>
      <xdr:row>2</xdr:row>
      <xdr:rowOff>190500</xdr:rowOff>
    </xdr:to>
    <xdr:sp macro="" textlink="">
      <xdr:nvSpPr>
        <xdr:cNvPr id="6" name="AutoShape 9" descr="Spain">
          <a:hlinkClick xmlns:r="http://schemas.openxmlformats.org/officeDocument/2006/relationships" r:id="rId5" tooltip="Spain"/>
          <a:extLst>
            <a:ext uri="{FF2B5EF4-FFF2-40B4-BE49-F238E27FC236}">
              <a16:creationId xmlns:a16="http://schemas.microsoft.com/office/drawing/2014/main" id="{26843CC2-6327-7049-A4C9-AE4E4F9CF23B}"/>
            </a:ext>
          </a:extLst>
        </xdr:cNvPr>
        <xdr:cNvSpPr>
          <a:spLocks noChangeAspect="1" noChangeArrowheads="1"/>
        </xdr:cNvSpPr>
      </xdr:nvSpPr>
      <xdr:spPr bwMode="auto">
        <a:xfrm>
          <a:off x="8788400" y="431800"/>
          <a:ext cx="2921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10</xdr:col>
      <xdr:colOff>0</xdr:colOff>
      <xdr:row>2</xdr:row>
      <xdr:rowOff>0</xdr:rowOff>
    </xdr:from>
    <xdr:to>
      <xdr:col>10</xdr:col>
      <xdr:colOff>292100</xdr:colOff>
      <xdr:row>2</xdr:row>
      <xdr:rowOff>152400</xdr:rowOff>
    </xdr:to>
    <xdr:sp macro="" textlink="">
      <xdr:nvSpPr>
        <xdr:cNvPr id="7" name="AutoShape 10" descr="Canada">
          <a:hlinkClick xmlns:r="http://schemas.openxmlformats.org/officeDocument/2006/relationships" r:id="rId6" tooltip="Canada"/>
          <a:extLst>
            <a:ext uri="{FF2B5EF4-FFF2-40B4-BE49-F238E27FC236}">
              <a16:creationId xmlns:a16="http://schemas.microsoft.com/office/drawing/2014/main" id="{2C4A76DB-9ABD-DD42-B663-B6DC8330C1C9}"/>
            </a:ext>
          </a:extLst>
        </xdr:cNvPr>
        <xdr:cNvSpPr>
          <a:spLocks noChangeAspect="1" noChangeArrowheads="1"/>
        </xdr:cNvSpPr>
      </xdr:nvSpPr>
      <xdr:spPr bwMode="auto">
        <a:xfrm>
          <a:off x="9613900" y="431800"/>
          <a:ext cx="2921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11</xdr:col>
      <xdr:colOff>0</xdr:colOff>
      <xdr:row>2</xdr:row>
      <xdr:rowOff>0</xdr:rowOff>
    </xdr:from>
    <xdr:to>
      <xdr:col>11</xdr:col>
      <xdr:colOff>292100</xdr:colOff>
      <xdr:row>2</xdr:row>
      <xdr:rowOff>190500</xdr:rowOff>
    </xdr:to>
    <xdr:sp macro="" textlink="">
      <xdr:nvSpPr>
        <xdr:cNvPr id="8" name="AutoShape 11" descr="Austria">
          <a:hlinkClick xmlns:r="http://schemas.openxmlformats.org/officeDocument/2006/relationships" r:id="rId7" tooltip="Austria"/>
          <a:extLst>
            <a:ext uri="{FF2B5EF4-FFF2-40B4-BE49-F238E27FC236}">
              <a16:creationId xmlns:a16="http://schemas.microsoft.com/office/drawing/2014/main" id="{1C757A5B-9ABA-5041-A7B2-CC473246206E}"/>
            </a:ext>
          </a:extLst>
        </xdr:cNvPr>
        <xdr:cNvSpPr>
          <a:spLocks noChangeAspect="1" noChangeArrowheads="1"/>
        </xdr:cNvSpPr>
      </xdr:nvSpPr>
      <xdr:spPr bwMode="auto">
        <a:xfrm>
          <a:off x="10439400" y="431800"/>
          <a:ext cx="2921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12</xdr:col>
      <xdr:colOff>0</xdr:colOff>
      <xdr:row>2</xdr:row>
      <xdr:rowOff>0</xdr:rowOff>
    </xdr:from>
    <xdr:to>
      <xdr:col>12</xdr:col>
      <xdr:colOff>292100</xdr:colOff>
      <xdr:row>2</xdr:row>
      <xdr:rowOff>152400</xdr:rowOff>
    </xdr:to>
    <xdr:sp macro="" textlink="">
      <xdr:nvSpPr>
        <xdr:cNvPr id="9" name="AutoShape 12" descr="United Kingdom">
          <a:hlinkClick xmlns:r="http://schemas.openxmlformats.org/officeDocument/2006/relationships" r:id="rId8" tooltip="United Kingdom"/>
          <a:extLst>
            <a:ext uri="{FF2B5EF4-FFF2-40B4-BE49-F238E27FC236}">
              <a16:creationId xmlns:a16="http://schemas.microsoft.com/office/drawing/2014/main" id="{CBCEA5F9-54F6-1946-85D3-42655980DAD6}"/>
            </a:ext>
          </a:extLst>
        </xdr:cNvPr>
        <xdr:cNvSpPr>
          <a:spLocks noChangeAspect="1" noChangeArrowheads="1"/>
        </xdr:cNvSpPr>
      </xdr:nvSpPr>
      <xdr:spPr bwMode="auto">
        <a:xfrm>
          <a:off x="11264900" y="431800"/>
          <a:ext cx="2921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13</xdr:col>
      <xdr:colOff>0</xdr:colOff>
      <xdr:row>2</xdr:row>
      <xdr:rowOff>0</xdr:rowOff>
    </xdr:from>
    <xdr:to>
      <xdr:col>13</xdr:col>
      <xdr:colOff>292100</xdr:colOff>
      <xdr:row>2</xdr:row>
      <xdr:rowOff>190500</xdr:rowOff>
    </xdr:to>
    <xdr:sp macro="" textlink="">
      <xdr:nvSpPr>
        <xdr:cNvPr id="10" name="AutoShape 13" descr="Belgium">
          <a:hlinkClick xmlns:r="http://schemas.openxmlformats.org/officeDocument/2006/relationships" r:id="rId9" tooltip="Belgium"/>
          <a:extLst>
            <a:ext uri="{FF2B5EF4-FFF2-40B4-BE49-F238E27FC236}">
              <a16:creationId xmlns:a16="http://schemas.microsoft.com/office/drawing/2014/main" id="{E0E748E0-C056-8B44-BBD1-A02EAB1FB79C}"/>
            </a:ext>
          </a:extLst>
        </xdr:cNvPr>
        <xdr:cNvSpPr>
          <a:spLocks noChangeAspect="1" noChangeArrowheads="1"/>
        </xdr:cNvSpPr>
      </xdr:nvSpPr>
      <xdr:spPr bwMode="auto">
        <a:xfrm>
          <a:off x="12090400" y="431800"/>
          <a:ext cx="2921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14</xdr:col>
      <xdr:colOff>0</xdr:colOff>
      <xdr:row>2</xdr:row>
      <xdr:rowOff>0</xdr:rowOff>
    </xdr:from>
    <xdr:to>
      <xdr:col>14</xdr:col>
      <xdr:colOff>292100</xdr:colOff>
      <xdr:row>2</xdr:row>
      <xdr:rowOff>152400</xdr:rowOff>
    </xdr:to>
    <xdr:sp macro="" textlink="">
      <xdr:nvSpPr>
        <xdr:cNvPr id="11" name="AutoShape 14" descr="Hungary">
          <a:hlinkClick xmlns:r="http://schemas.openxmlformats.org/officeDocument/2006/relationships" r:id="rId10" tooltip="Hungary"/>
          <a:extLst>
            <a:ext uri="{FF2B5EF4-FFF2-40B4-BE49-F238E27FC236}">
              <a16:creationId xmlns:a16="http://schemas.microsoft.com/office/drawing/2014/main" id="{9BA1F6A8-B0DA-C949-93C1-EEF07BF4B913}"/>
            </a:ext>
          </a:extLst>
        </xdr:cNvPr>
        <xdr:cNvSpPr>
          <a:spLocks noChangeAspect="1" noChangeArrowheads="1"/>
        </xdr:cNvSpPr>
      </xdr:nvSpPr>
      <xdr:spPr bwMode="auto">
        <a:xfrm>
          <a:off x="12915900" y="431800"/>
          <a:ext cx="2921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15</xdr:col>
      <xdr:colOff>0</xdr:colOff>
      <xdr:row>2</xdr:row>
      <xdr:rowOff>0</xdr:rowOff>
    </xdr:from>
    <xdr:to>
      <xdr:col>15</xdr:col>
      <xdr:colOff>292100</xdr:colOff>
      <xdr:row>2</xdr:row>
      <xdr:rowOff>190500</xdr:rowOff>
    </xdr:to>
    <xdr:sp macro="" textlink="">
      <xdr:nvSpPr>
        <xdr:cNvPr id="12" name="AutoShape 15" descr="Netherlands">
          <a:hlinkClick xmlns:r="http://schemas.openxmlformats.org/officeDocument/2006/relationships" r:id="rId11" tooltip="Netherlands"/>
          <a:extLst>
            <a:ext uri="{FF2B5EF4-FFF2-40B4-BE49-F238E27FC236}">
              <a16:creationId xmlns:a16="http://schemas.microsoft.com/office/drawing/2014/main" id="{6F1DF25E-75AD-4242-BA58-8CECA5E5072D}"/>
            </a:ext>
          </a:extLst>
        </xdr:cNvPr>
        <xdr:cNvSpPr>
          <a:spLocks noChangeAspect="1" noChangeArrowheads="1"/>
        </xdr:cNvSpPr>
      </xdr:nvSpPr>
      <xdr:spPr bwMode="auto">
        <a:xfrm>
          <a:off x="13741400" y="431800"/>
          <a:ext cx="2921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16</xdr:col>
      <xdr:colOff>0</xdr:colOff>
      <xdr:row>2</xdr:row>
      <xdr:rowOff>0</xdr:rowOff>
    </xdr:from>
    <xdr:to>
      <xdr:col>16</xdr:col>
      <xdr:colOff>292100</xdr:colOff>
      <xdr:row>2</xdr:row>
      <xdr:rowOff>190500</xdr:rowOff>
    </xdr:to>
    <xdr:sp macro="" textlink="">
      <xdr:nvSpPr>
        <xdr:cNvPr id="13" name="AutoShape 16" descr="Italy">
          <a:hlinkClick xmlns:r="http://schemas.openxmlformats.org/officeDocument/2006/relationships" r:id="rId3" tooltip="Italy"/>
          <a:extLst>
            <a:ext uri="{FF2B5EF4-FFF2-40B4-BE49-F238E27FC236}">
              <a16:creationId xmlns:a16="http://schemas.microsoft.com/office/drawing/2014/main" id="{612C6E5F-7477-4C44-ABA8-23E2FCF06168}"/>
            </a:ext>
          </a:extLst>
        </xdr:cNvPr>
        <xdr:cNvSpPr>
          <a:spLocks noChangeAspect="1" noChangeArrowheads="1"/>
        </xdr:cNvSpPr>
      </xdr:nvSpPr>
      <xdr:spPr bwMode="auto">
        <a:xfrm>
          <a:off x="14566900" y="431800"/>
          <a:ext cx="2921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17</xdr:col>
      <xdr:colOff>0</xdr:colOff>
      <xdr:row>2</xdr:row>
      <xdr:rowOff>0</xdr:rowOff>
    </xdr:from>
    <xdr:to>
      <xdr:col>17</xdr:col>
      <xdr:colOff>292100</xdr:colOff>
      <xdr:row>2</xdr:row>
      <xdr:rowOff>152400</xdr:rowOff>
    </xdr:to>
    <xdr:sp macro="" textlink="">
      <xdr:nvSpPr>
        <xdr:cNvPr id="14" name="AutoShape 17" descr="Azerbaijan">
          <a:hlinkClick xmlns:r="http://schemas.openxmlformats.org/officeDocument/2006/relationships" r:id="rId12" tooltip="Azerbaijan"/>
          <a:extLst>
            <a:ext uri="{FF2B5EF4-FFF2-40B4-BE49-F238E27FC236}">
              <a16:creationId xmlns:a16="http://schemas.microsoft.com/office/drawing/2014/main" id="{6C849345-4769-9644-9241-66C40B8C89D6}"/>
            </a:ext>
          </a:extLst>
        </xdr:cNvPr>
        <xdr:cNvSpPr>
          <a:spLocks noChangeAspect="1" noChangeArrowheads="1"/>
        </xdr:cNvSpPr>
      </xdr:nvSpPr>
      <xdr:spPr bwMode="auto">
        <a:xfrm>
          <a:off x="15392400" y="431800"/>
          <a:ext cx="2921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18</xdr:col>
      <xdr:colOff>0</xdr:colOff>
      <xdr:row>2</xdr:row>
      <xdr:rowOff>0</xdr:rowOff>
    </xdr:from>
    <xdr:to>
      <xdr:col>18</xdr:col>
      <xdr:colOff>292100</xdr:colOff>
      <xdr:row>2</xdr:row>
      <xdr:rowOff>190500</xdr:rowOff>
    </xdr:to>
    <xdr:sp macro="" textlink="">
      <xdr:nvSpPr>
        <xdr:cNvPr id="15" name="AutoShape 18" descr="Singapore">
          <a:hlinkClick xmlns:r="http://schemas.openxmlformats.org/officeDocument/2006/relationships" r:id="rId13" tooltip="Singapore"/>
          <a:extLst>
            <a:ext uri="{FF2B5EF4-FFF2-40B4-BE49-F238E27FC236}">
              <a16:creationId xmlns:a16="http://schemas.microsoft.com/office/drawing/2014/main" id="{47152759-D228-7047-8426-489EAAD6DB46}"/>
            </a:ext>
          </a:extLst>
        </xdr:cNvPr>
        <xdr:cNvSpPr>
          <a:spLocks noChangeAspect="1" noChangeArrowheads="1"/>
        </xdr:cNvSpPr>
      </xdr:nvSpPr>
      <xdr:spPr bwMode="auto">
        <a:xfrm>
          <a:off x="16217900" y="431800"/>
          <a:ext cx="2921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19</xdr:col>
      <xdr:colOff>0</xdr:colOff>
      <xdr:row>2</xdr:row>
      <xdr:rowOff>0</xdr:rowOff>
    </xdr:from>
    <xdr:to>
      <xdr:col>19</xdr:col>
      <xdr:colOff>292100</xdr:colOff>
      <xdr:row>2</xdr:row>
      <xdr:rowOff>152400</xdr:rowOff>
    </xdr:to>
    <xdr:sp macro="" textlink="">
      <xdr:nvSpPr>
        <xdr:cNvPr id="16" name="AutoShape 19" descr="United States">
          <a:hlinkClick xmlns:r="http://schemas.openxmlformats.org/officeDocument/2006/relationships" r:id="rId2" tooltip="United States"/>
          <a:extLst>
            <a:ext uri="{FF2B5EF4-FFF2-40B4-BE49-F238E27FC236}">
              <a16:creationId xmlns:a16="http://schemas.microsoft.com/office/drawing/2014/main" id="{F955DFD5-80DC-9040-BF73-CC10DB47F346}"/>
            </a:ext>
          </a:extLst>
        </xdr:cNvPr>
        <xdr:cNvSpPr>
          <a:spLocks noChangeAspect="1" noChangeArrowheads="1"/>
        </xdr:cNvSpPr>
      </xdr:nvSpPr>
      <xdr:spPr bwMode="auto">
        <a:xfrm>
          <a:off x="17043400" y="431800"/>
          <a:ext cx="2921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20</xdr:col>
      <xdr:colOff>0</xdr:colOff>
      <xdr:row>2</xdr:row>
      <xdr:rowOff>0</xdr:rowOff>
    </xdr:from>
    <xdr:to>
      <xdr:col>20</xdr:col>
      <xdr:colOff>292100</xdr:colOff>
      <xdr:row>2</xdr:row>
      <xdr:rowOff>165100</xdr:rowOff>
    </xdr:to>
    <xdr:sp macro="" textlink="">
      <xdr:nvSpPr>
        <xdr:cNvPr id="17" name="AutoShape 20" descr="Mexico">
          <a:hlinkClick xmlns:r="http://schemas.openxmlformats.org/officeDocument/2006/relationships" r:id="rId14" tooltip="Mexico"/>
          <a:extLst>
            <a:ext uri="{FF2B5EF4-FFF2-40B4-BE49-F238E27FC236}">
              <a16:creationId xmlns:a16="http://schemas.microsoft.com/office/drawing/2014/main" id="{35AF2E18-B39D-1549-9BC7-D0F88E864171}"/>
            </a:ext>
          </a:extLst>
        </xdr:cNvPr>
        <xdr:cNvSpPr>
          <a:spLocks noChangeAspect="1" noChangeArrowheads="1"/>
        </xdr:cNvSpPr>
      </xdr:nvSpPr>
      <xdr:spPr bwMode="auto">
        <a:xfrm>
          <a:off x="17907000" y="431800"/>
          <a:ext cx="292100" cy="1651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21</xdr:col>
      <xdr:colOff>0</xdr:colOff>
      <xdr:row>2</xdr:row>
      <xdr:rowOff>0</xdr:rowOff>
    </xdr:from>
    <xdr:to>
      <xdr:col>21</xdr:col>
      <xdr:colOff>279400</xdr:colOff>
      <xdr:row>2</xdr:row>
      <xdr:rowOff>190500</xdr:rowOff>
    </xdr:to>
    <xdr:sp macro="" textlink="">
      <xdr:nvSpPr>
        <xdr:cNvPr id="18" name="AutoShape 21" descr="Brazil">
          <a:hlinkClick xmlns:r="http://schemas.openxmlformats.org/officeDocument/2006/relationships" r:id="rId15" tooltip="Brazil"/>
          <a:extLst>
            <a:ext uri="{FF2B5EF4-FFF2-40B4-BE49-F238E27FC236}">
              <a16:creationId xmlns:a16="http://schemas.microsoft.com/office/drawing/2014/main" id="{DF0768D7-413B-4847-9055-C9D52149117A}"/>
            </a:ext>
          </a:extLst>
        </xdr:cNvPr>
        <xdr:cNvSpPr>
          <a:spLocks noChangeAspect="1" noChangeArrowheads="1"/>
        </xdr:cNvSpPr>
      </xdr:nvSpPr>
      <xdr:spPr bwMode="auto">
        <a:xfrm>
          <a:off x="18732500" y="431800"/>
          <a:ext cx="2794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22</xdr:col>
      <xdr:colOff>0</xdr:colOff>
      <xdr:row>2</xdr:row>
      <xdr:rowOff>0</xdr:rowOff>
    </xdr:from>
    <xdr:to>
      <xdr:col>22</xdr:col>
      <xdr:colOff>292100</xdr:colOff>
      <xdr:row>2</xdr:row>
      <xdr:rowOff>152400</xdr:rowOff>
    </xdr:to>
    <xdr:sp macro="" textlink="">
      <xdr:nvSpPr>
        <xdr:cNvPr id="19" name="AutoShape 22" descr="United States">
          <a:hlinkClick xmlns:r="http://schemas.openxmlformats.org/officeDocument/2006/relationships" r:id="rId2" tooltip="United States"/>
          <a:extLst>
            <a:ext uri="{FF2B5EF4-FFF2-40B4-BE49-F238E27FC236}">
              <a16:creationId xmlns:a16="http://schemas.microsoft.com/office/drawing/2014/main" id="{83124D66-BF58-3248-B7AE-60F088054575}"/>
            </a:ext>
          </a:extLst>
        </xdr:cNvPr>
        <xdr:cNvSpPr>
          <a:spLocks noChangeAspect="1" noChangeArrowheads="1"/>
        </xdr:cNvSpPr>
      </xdr:nvSpPr>
      <xdr:spPr bwMode="auto">
        <a:xfrm>
          <a:off x="19558000" y="431800"/>
          <a:ext cx="2921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23</xdr:col>
      <xdr:colOff>0</xdr:colOff>
      <xdr:row>2</xdr:row>
      <xdr:rowOff>0</xdr:rowOff>
    </xdr:from>
    <xdr:to>
      <xdr:col>23</xdr:col>
      <xdr:colOff>292100</xdr:colOff>
      <xdr:row>2</xdr:row>
      <xdr:rowOff>114300</xdr:rowOff>
    </xdr:to>
    <xdr:sp macro="" textlink="">
      <xdr:nvSpPr>
        <xdr:cNvPr id="20" name="AutoShape 23" descr="Qatar">
          <a:hlinkClick xmlns:r="http://schemas.openxmlformats.org/officeDocument/2006/relationships" r:id="rId16" tooltip="Qatar"/>
          <a:extLst>
            <a:ext uri="{FF2B5EF4-FFF2-40B4-BE49-F238E27FC236}">
              <a16:creationId xmlns:a16="http://schemas.microsoft.com/office/drawing/2014/main" id="{8FF0BBB6-53E8-A246-8EEC-5DCE428D05D8}"/>
            </a:ext>
          </a:extLst>
        </xdr:cNvPr>
        <xdr:cNvSpPr>
          <a:spLocks noChangeAspect="1" noChangeArrowheads="1"/>
        </xdr:cNvSpPr>
      </xdr:nvSpPr>
      <xdr:spPr bwMode="auto">
        <a:xfrm>
          <a:off x="20383500" y="431800"/>
          <a:ext cx="292100" cy="1143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24</xdr:col>
      <xdr:colOff>0</xdr:colOff>
      <xdr:row>2</xdr:row>
      <xdr:rowOff>0</xdr:rowOff>
    </xdr:from>
    <xdr:to>
      <xdr:col>24</xdr:col>
      <xdr:colOff>292100</xdr:colOff>
      <xdr:row>2</xdr:row>
      <xdr:rowOff>152400</xdr:rowOff>
    </xdr:to>
    <xdr:sp macro="" textlink="">
      <xdr:nvSpPr>
        <xdr:cNvPr id="21" name="AutoShape 24" descr="United Arab Emirates">
          <a:hlinkClick xmlns:r="http://schemas.openxmlformats.org/officeDocument/2006/relationships" r:id="rId17" tooltip="United Arab Emirates"/>
          <a:extLst>
            <a:ext uri="{FF2B5EF4-FFF2-40B4-BE49-F238E27FC236}">
              <a16:creationId xmlns:a16="http://schemas.microsoft.com/office/drawing/2014/main" id="{843957D7-4BFB-F845-B4D9-6CDB6F687C96}"/>
            </a:ext>
          </a:extLst>
        </xdr:cNvPr>
        <xdr:cNvSpPr>
          <a:spLocks noChangeAspect="1" noChangeArrowheads="1"/>
        </xdr:cNvSpPr>
      </xdr:nvSpPr>
      <xdr:spPr bwMode="auto">
        <a:xfrm>
          <a:off x="21209000" y="431800"/>
          <a:ext cx="2921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xdr:row>
      <xdr:rowOff>0</xdr:rowOff>
    </xdr:from>
    <xdr:to>
      <xdr:col>0</xdr:col>
      <xdr:colOff>292100</xdr:colOff>
      <xdr:row>2</xdr:row>
      <xdr:rowOff>152400</xdr:rowOff>
    </xdr:to>
    <xdr:sp macro="" textlink="">
      <xdr:nvSpPr>
        <xdr:cNvPr id="22" name="AutoShape 25" descr="United Kingdom">
          <a:hlinkClick xmlns:r="http://schemas.openxmlformats.org/officeDocument/2006/relationships" r:id="rId8" tooltip="United Kingdom"/>
          <a:extLst>
            <a:ext uri="{FF2B5EF4-FFF2-40B4-BE49-F238E27FC236}">
              <a16:creationId xmlns:a16="http://schemas.microsoft.com/office/drawing/2014/main" id="{D22012A8-9504-3345-B382-8CEEA27F3A2A}"/>
            </a:ext>
          </a:extLst>
        </xdr:cNvPr>
        <xdr:cNvSpPr>
          <a:spLocks noChangeAspect="1" noChangeArrowheads="1"/>
        </xdr:cNvSpPr>
      </xdr:nvSpPr>
      <xdr:spPr bwMode="auto">
        <a:xfrm>
          <a:off x="0" y="431800"/>
          <a:ext cx="2921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xdr:row>
      <xdr:rowOff>0</xdr:rowOff>
    </xdr:from>
    <xdr:to>
      <xdr:col>0</xdr:col>
      <xdr:colOff>292100</xdr:colOff>
      <xdr:row>3</xdr:row>
      <xdr:rowOff>190500</xdr:rowOff>
    </xdr:to>
    <xdr:sp macro="" textlink="">
      <xdr:nvSpPr>
        <xdr:cNvPr id="23" name="AutoShape 26" descr="Netherlands">
          <a:hlinkClick xmlns:r="http://schemas.openxmlformats.org/officeDocument/2006/relationships" r:id="rId11" tooltip="Netherlands"/>
          <a:extLst>
            <a:ext uri="{FF2B5EF4-FFF2-40B4-BE49-F238E27FC236}">
              <a16:creationId xmlns:a16="http://schemas.microsoft.com/office/drawing/2014/main" id="{08C01E89-DFF4-E44F-A9DD-C8B5316D2DCE}"/>
            </a:ext>
          </a:extLst>
        </xdr:cNvPr>
        <xdr:cNvSpPr>
          <a:spLocks noChangeAspect="1" noChangeArrowheads="1"/>
        </xdr:cNvSpPr>
      </xdr:nvSpPr>
      <xdr:spPr bwMode="auto">
        <a:xfrm>
          <a:off x="0" y="660400"/>
          <a:ext cx="2921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xdr:row>
      <xdr:rowOff>0</xdr:rowOff>
    </xdr:from>
    <xdr:to>
      <xdr:col>0</xdr:col>
      <xdr:colOff>292100</xdr:colOff>
      <xdr:row>5</xdr:row>
      <xdr:rowOff>152400</xdr:rowOff>
    </xdr:to>
    <xdr:sp macro="" textlink="">
      <xdr:nvSpPr>
        <xdr:cNvPr id="25" name="AutoShape 28" descr="United Kingdom">
          <a:hlinkClick xmlns:r="http://schemas.openxmlformats.org/officeDocument/2006/relationships" r:id="rId8" tooltip="United Kingdom"/>
          <a:extLst>
            <a:ext uri="{FF2B5EF4-FFF2-40B4-BE49-F238E27FC236}">
              <a16:creationId xmlns:a16="http://schemas.microsoft.com/office/drawing/2014/main" id="{87A97830-DA08-F34D-BFE1-0DC768093CF4}"/>
            </a:ext>
          </a:extLst>
        </xdr:cNvPr>
        <xdr:cNvSpPr>
          <a:spLocks noChangeAspect="1" noChangeArrowheads="1"/>
        </xdr:cNvSpPr>
      </xdr:nvSpPr>
      <xdr:spPr bwMode="auto">
        <a:xfrm>
          <a:off x="0" y="1117600"/>
          <a:ext cx="2921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xdr:row>
      <xdr:rowOff>0</xdr:rowOff>
    </xdr:from>
    <xdr:to>
      <xdr:col>0</xdr:col>
      <xdr:colOff>241300</xdr:colOff>
      <xdr:row>6</xdr:row>
      <xdr:rowOff>190500</xdr:rowOff>
    </xdr:to>
    <xdr:sp macro="" textlink="">
      <xdr:nvSpPr>
        <xdr:cNvPr id="26" name="AutoShape 29" descr="Monaco">
          <a:hlinkClick xmlns:r="http://schemas.openxmlformats.org/officeDocument/2006/relationships" r:id="rId4" tooltip="Monaco"/>
          <a:extLst>
            <a:ext uri="{FF2B5EF4-FFF2-40B4-BE49-F238E27FC236}">
              <a16:creationId xmlns:a16="http://schemas.microsoft.com/office/drawing/2014/main" id="{4E76A4E4-3F7C-B04F-A9CD-622FCC17C098}"/>
            </a:ext>
          </a:extLst>
        </xdr:cNvPr>
        <xdr:cNvSpPr>
          <a:spLocks noChangeAspect="1" noChangeArrowheads="1"/>
        </xdr:cNvSpPr>
      </xdr:nvSpPr>
      <xdr:spPr bwMode="auto">
        <a:xfrm>
          <a:off x="0" y="1346200"/>
          <a:ext cx="2413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xdr:row>
      <xdr:rowOff>0</xdr:rowOff>
    </xdr:from>
    <xdr:to>
      <xdr:col>0</xdr:col>
      <xdr:colOff>292100</xdr:colOff>
      <xdr:row>7</xdr:row>
      <xdr:rowOff>152400</xdr:rowOff>
    </xdr:to>
    <xdr:sp macro="" textlink="">
      <xdr:nvSpPr>
        <xdr:cNvPr id="27" name="AutoShape 30" descr="United Kingdom">
          <a:hlinkClick xmlns:r="http://schemas.openxmlformats.org/officeDocument/2006/relationships" r:id="rId8" tooltip="United Kingdom"/>
          <a:extLst>
            <a:ext uri="{FF2B5EF4-FFF2-40B4-BE49-F238E27FC236}">
              <a16:creationId xmlns:a16="http://schemas.microsoft.com/office/drawing/2014/main" id="{DF4CFD51-1EBE-734C-95B2-06EBC9A2BCAA}"/>
            </a:ext>
          </a:extLst>
        </xdr:cNvPr>
        <xdr:cNvSpPr>
          <a:spLocks noChangeAspect="1" noChangeArrowheads="1"/>
        </xdr:cNvSpPr>
      </xdr:nvSpPr>
      <xdr:spPr bwMode="auto">
        <a:xfrm>
          <a:off x="0" y="1574800"/>
          <a:ext cx="2921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xdr:row>
      <xdr:rowOff>0</xdr:rowOff>
    </xdr:from>
    <xdr:to>
      <xdr:col>0</xdr:col>
      <xdr:colOff>292100</xdr:colOff>
      <xdr:row>8</xdr:row>
      <xdr:rowOff>190500</xdr:rowOff>
    </xdr:to>
    <xdr:sp macro="" textlink="">
      <xdr:nvSpPr>
        <xdr:cNvPr id="28" name="AutoShape 31" descr="Italy">
          <a:hlinkClick xmlns:r="http://schemas.openxmlformats.org/officeDocument/2006/relationships" r:id="rId3" tooltip="Italy"/>
          <a:extLst>
            <a:ext uri="{FF2B5EF4-FFF2-40B4-BE49-F238E27FC236}">
              <a16:creationId xmlns:a16="http://schemas.microsoft.com/office/drawing/2014/main" id="{4E6B4BFA-12CA-AD47-BBE0-97E97BCEFCAD}"/>
            </a:ext>
          </a:extLst>
        </xdr:cNvPr>
        <xdr:cNvSpPr>
          <a:spLocks noChangeAspect="1" noChangeArrowheads="1"/>
        </xdr:cNvSpPr>
      </xdr:nvSpPr>
      <xdr:spPr bwMode="auto">
        <a:xfrm>
          <a:off x="0" y="1803400"/>
          <a:ext cx="2921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xdr:row>
      <xdr:rowOff>0</xdr:rowOff>
    </xdr:from>
    <xdr:to>
      <xdr:col>0</xdr:col>
      <xdr:colOff>292100</xdr:colOff>
      <xdr:row>9</xdr:row>
      <xdr:rowOff>190500</xdr:rowOff>
    </xdr:to>
    <xdr:sp macro="" textlink="">
      <xdr:nvSpPr>
        <xdr:cNvPr id="29" name="AutoShape 32" descr="Thailand">
          <a:hlinkClick xmlns:r="http://schemas.openxmlformats.org/officeDocument/2006/relationships" r:id="rId18" tooltip="Thailand"/>
          <a:extLst>
            <a:ext uri="{FF2B5EF4-FFF2-40B4-BE49-F238E27FC236}">
              <a16:creationId xmlns:a16="http://schemas.microsoft.com/office/drawing/2014/main" id="{F5F62556-DDD4-3649-B9F0-AF1E9EF59B97}"/>
            </a:ext>
          </a:extLst>
        </xdr:cNvPr>
        <xdr:cNvSpPr>
          <a:spLocks noChangeAspect="1" noChangeArrowheads="1"/>
        </xdr:cNvSpPr>
      </xdr:nvSpPr>
      <xdr:spPr bwMode="auto">
        <a:xfrm>
          <a:off x="0" y="2032000"/>
          <a:ext cx="2921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xdr:row>
      <xdr:rowOff>0</xdr:rowOff>
    </xdr:from>
    <xdr:to>
      <xdr:col>0</xdr:col>
      <xdr:colOff>292100</xdr:colOff>
      <xdr:row>10</xdr:row>
      <xdr:rowOff>190500</xdr:rowOff>
    </xdr:to>
    <xdr:sp macro="" textlink="">
      <xdr:nvSpPr>
        <xdr:cNvPr id="30" name="AutoShape 33" descr="Spain">
          <a:hlinkClick xmlns:r="http://schemas.openxmlformats.org/officeDocument/2006/relationships" r:id="rId5" tooltip="Spain"/>
          <a:extLst>
            <a:ext uri="{FF2B5EF4-FFF2-40B4-BE49-F238E27FC236}">
              <a16:creationId xmlns:a16="http://schemas.microsoft.com/office/drawing/2014/main" id="{1B6AF5B4-FD57-D64C-9D1C-DE7F07974313}"/>
            </a:ext>
          </a:extLst>
        </xdr:cNvPr>
        <xdr:cNvSpPr>
          <a:spLocks noChangeAspect="1" noChangeArrowheads="1"/>
        </xdr:cNvSpPr>
      </xdr:nvSpPr>
      <xdr:spPr bwMode="auto">
        <a:xfrm>
          <a:off x="0" y="2260600"/>
          <a:ext cx="2921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xdr:row>
      <xdr:rowOff>0</xdr:rowOff>
    </xdr:from>
    <xdr:to>
      <xdr:col>0</xdr:col>
      <xdr:colOff>292100</xdr:colOff>
      <xdr:row>11</xdr:row>
      <xdr:rowOff>190500</xdr:rowOff>
    </xdr:to>
    <xdr:sp macro="" textlink="">
      <xdr:nvSpPr>
        <xdr:cNvPr id="31" name="AutoShape 34" descr="Spain">
          <a:hlinkClick xmlns:r="http://schemas.openxmlformats.org/officeDocument/2006/relationships" r:id="rId5" tooltip="Spain"/>
          <a:extLst>
            <a:ext uri="{FF2B5EF4-FFF2-40B4-BE49-F238E27FC236}">
              <a16:creationId xmlns:a16="http://schemas.microsoft.com/office/drawing/2014/main" id="{50CB45AD-55D4-DC40-A7DD-6FB9241C50B8}"/>
            </a:ext>
          </a:extLst>
        </xdr:cNvPr>
        <xdr:cNvSpPr>
          <a:spLocks noChangeAspect="1" noChangeArrowheads="1"/>
        </xdr:cNvSpPr>
      </xdr:nvSpPr>
      <xdr:spPr bwMode="auto">
        <a:xfrm>
          <a:off x="0" y="2489200"/>
          <a:ext cx="2921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xdr:row>
      <xdr:rowOff>0</xdr:rowOff>
    </xdr:from>
    <xdr:to>
      <xdr:col>0</xdr:col>
      <xdr:colOff>292100</xdr:colOff>
      <xdr:row>12</xdr:row>
      <xdr:rowOff>177800</xdr:rowOff>
    </xdr:to>
    <xdr:sp macro="" textlink="">
      <xdr:nvSpPr>
        <xdr:cNvPr id="32" name="AutoShape 35" descr="Germany">
          <a:hlinkClick xmlns:r="http://schemas.openxmlformats.org/officeDocument/2006/relationships" r:id="rId19" tooltip="Germany"/>
          <a:extLst>
            <a:ext uri="{FF2B5EF4-FFF2-40B4-BE49-F238E27FC236}">
              <a16:creationId xmlns:a16="http://schemas.microsoft.com/office/drawing/2014/main" id="{4901BB30-3C7C-9E4D-827A-B54965B19440}"/>
            </a:ext>
          </a:extLst>
        </xdr:cNvPr>
        <xdr:cNvSpPr>
          <a:spLocks noChangeAspect="1" noChangeArrowheads="1"/>
        </xdr:cNvSpPr>
      </xdr:nvSpPr>
      <xdr:spPr bwMode="auto">
        <a:xfrm>
          <a:off x="0" y="2730500"/>
          <a:ext cx="292100" cy="177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xdr:row>
      <xdr:rowOff>0</xdr:rowOff>
    </xdr:from>
    <xdr:to>
      <xdr:col>0</xdr:col>
      <xdr:colOff>292100</xdr:colOff>
      <xdr:row>13</xdr:row>
      <xdr:rowOff>190500</xdr:rowOff>
    </xdr:to>
    <xdr:sp macro="" textlink="">
      <xdr:nvSpPr>
        <xdr:cNvPr id="33" name="AutoShape 36" descr="France">
          <a:hlinkClick xmlns:r="http://schemas.openxmlformats.org/officeDocument/2006/relationships" r:id="rId20" tooltip="France"/>
          <a:extLst>
            <a:ext uri="{FF2B5EF4-FFF2-40B4-BE49-F238E27FC236}">
              <a16:creationId xmlns:a16="http://schemas.microsoft.com/office/drawing/2014/main" id="{4B309DC7-9F34-7C4A-AB1F-63548157298F}"/>
            </a:ext>
          </a:extLst>
        </xdr:cNvPr>
        <xdr:cNvSpPr>
          <a:spLocks noChangeAspect="1" noChangeArrowheads="1"/>
        </xdr:cNvSpPr>
      </xdr:nvSpPr>
      <xdr:spPr bwMode="auto">
        <a:xfrm>
          <a:off x="0" y="2959100"/>
          <a:ext cx="2921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14</xdr:row>
      <xdr:rowOff>0</xdr:rowOff>
    </xdr:from>
    <xdr:to>
      <xdr:col>0</xdr:col>
      <xdr:colOff>292100</xdr:colOff>
      <xdr:row>14</xdr:row>
      <xdr:rowOff>152400</xdr:rowOff>
    </xdr:to>
    <xdr:sp macro="" textlink="">
      <xdr:nvSpPr>
        <xdr:cNvPr id="34" name="AutoShape 37" descr="United Kingdom">
          <a:hlinkClick xmlns:r="http://schemas.openxmlformats.org/officeDocument/2006/relationships" r:id="rId8" tooltip="United Kingdom"/>
          <a:extLst>
            <a:ext uri="{FF2B5EF4-FFF2-40B4-BE49-F238E27FC236}">
              <a16:creationId xmlns:a16="http://schemas.microsoft.com/office/drawing/2014/main" id="{332E0634-4421-5D4E-83DF-26EF8EB9CBF0}"/>
            </a:ext>
          </a:extLst>
        </xdr:cNvPr>
        <xdr:cNvSpPr>
          <a:spLocks noChangeAspect="1" noChangeArrowheads="1"/>
        </xdr:cNvSpPr>
      </xdr:nvSpPr>
      <xdr:spPr bwMode="auto">
        <a:xfrm>
          <a:off x="0" y="3187700"/>
          <a:ext cx="2921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15</xdr:row>
      <xdr:rowOff>0</xdr:rowOff>
    </xdr:from>
    <xdr:to>
      <xdr:col>0</xdr:col>
      <xdr:colOff>292100</xdr:colOff>
      <xdr:row>15</xdr:row>
      <xdr:rowOff>152400</xdr:rowOff>
    </xdr:to>
    <xdr:sp macro="" textlink="">
      <xdr:nvSpPr>
        <xdr:cNvPr id="35" name="AutoShape 38" descr="New Zealand">
          <a:hlinkClick xmlns:r="http://schemas.openxmlformats.org/officeDocument/2006/relationships" r:id="rId21" tooltip="New Zealand"/>
          <a:extLst>
            <a:ext uri="{FF2B5EF4-FFF2-40B4-BE49-F238E27FC236}">
              <a16:creationId xmlns:a16="http://schemas.microsoft.com/office/drawing/2014/main" id="{2A6A2E0D-F032-7244-9130-ADB60BFBAAD0}"/>
            </a:ext>
          </a:extLst>
        </xdr:cNvPr>
        <xdr:cNvSpPr>
          <a:spLocks noChangeAspect="1" noChangeArrowheads="1"/>
        </xdr:cNvSpPr>
      </xdr:nvSpPr>
      <xdr:spPr bwMode="auto">
        <a:xfrm>
          <a:off x="0" y="3416300"/>
          <a:ext cx="2921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16</xdr:row>
      <xdr:rowOff>0</xdr:rowOff>
    </xdr:from>
    <xdr:to>
      <xdr:col>0</xdr:col>
      <xdr:colOff>292100</xdr:colOff>
      <xdr:row>16</xdr:row>
      <xdr:rowOff>190500</xdr:rowOff>
    </xdr:to>
    <xdr:sp macro="" textlink="">
      <xdr:nvSpPr>
        <xdr:cNvPr id="36" name="AutoShape 39" descr="France">
          <a:hlinkClick xmlns:r="http://schemas.openxmlformats.org/officeDocument/2006/relationships" r:id="rId20" tooltip="France"/>
          <a:extLst>
            <a:ext uri="{FF2B5EF4-FFF2-40B4-BE49-F238E27FC236}">
              <a16:creationId xmlns:a16="http://schemas.microsoft.com/office/drawing/2014/main" id="{8826ACF7-8B5C-2245-95CF-F7CC218C18C1}"/>
            </a:ext>
          </a:extLst>
        </xdr:cNvPr>
        <xdr:cNvSpPr>
          <a:spLocks noChangeAspect="1" noChangeArrowheads="1"/>
        </xdr:cNvSpPr>
      </xdr:nvSpPr>
      <xdr:spPr bwMode="auto">
        <a:xfrm>
          <a:off x="0" y="3644900"/>
          <a:ext cx="2921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17</xdr:row>
      <xdr:rowOff>0</xdr:rowOff>
    </xdr:from>
    <xdr:to>
      <xdr:col>0</xdr:col>
      <xdr:colOff>292100</xdr:colOff>
      <xdr:row>17</xdr:row>
      <xdr:rowOff>152400</xdr:rowOff>
    </xdr:to>
    <xdr:sp macro="" textlink="">
      <xdr:nvSpPr>
        <xdr:cNvPr id="37" name="AutoShape 40" descr="Canada">
          <a:hlinkClick xmlns:r="http://schemas.openxmlformats.org/officeDocument/2006/relationships" r:id="rId6" tooltip="Canada"/>
          <a:extLst>
            <a:ext uri="{FF2B5EF4-FFF2-40B4-BE49-F238E27FC236}">
              <a16:creationId xmlns:a16="http://schemas.microsoft.com/office/drawing/2014/main" id="{6B871C74-C1D9-6F4F-A372-F9B08DDF7B05}"/>
            </a:ext>
          </a:extLst>
        </xdr:cNvPr>
        <xdr:cNvSpPr>
          <a:spLocks noChangeAspect="1" noChangeArrowheads="1"/>
        </xdr:cNvSpPr>
      </xdr:nvSpPr>
      <xdr:spPr bwMode="auto">
        <a:xfrm>
          <a:off x="0" y="3873500"/>
          <a:ext cx="2921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19</xdr:row>
      <xdr:rowOff>0</xdr:rowOff>
    </xdr:from>
    <xdr:to>
      <xdr:col>0</xdr:col>
      <xdr:colOff>292100</xdr:colOff>
      <xdr:row>19</xdr:row>
      <xdr:rowOff>190500</xdr:rowOff>
    </xdr:to>
    <xdr:sp macro="" textlink="">
      <xdr:nvSpPr>
        <xdr:cNvPr id="39" name="AutoShape 42" descr="France">
          <a:hlinkClick xmlns:r="http://schemas.openxmlformats.org/officeDocument/2006/relationships" r:id="rId20" tooltip="France"/>
          <a:extLst>
            <a:ext uri="{FF2B5EF4-FFF2-40B4-BE49-F238E27FC236}">
              <a16:creationId xmlns:a16="http://schemas.microsoft.com/office/drawing/2014/main" id="{5D22DAEE-771C-974C-B4F0-41966C446E56}"/>
            </a:ext>
          </a:extLst>
        </xdr:cNvPr>
        <xdr:cNvSpPr>
          <a:spLocks noChangeAspect="1" noChangeArrowheads="1"/>
        </xdr:cNvSpPr>
      </xdr:nvSpPr>
      <xdr:spPr bwMode="auto">
        <a:xfrm>
          <a:off x="0" y="4330700"/>
          <a:ext cx="2921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20</xdr:row>
      <xdr:rowOff>0</xdr:rowOff>
    </xdr:from>
    <xdr:to>
      <xdr:col>0</xdr:col>
      <xdr:colOff>279400</xdr:colOff>
      <xdr:row>20</xdr:row>
      <xdr:rowOff>190500</xdr:rowOff>
    </xdr:to>
    <xdr:sp macro="" textlink="">
      <xdr:nvSpPr>
        <xdr:cNvPr id="40" name="AutoShape 43" descr="Brazil">
          <a:hlinkClick xmlns:r="http://schemas.openxmlformats.org/officeDocument/2006/relationships" r:id="rId15" tooltip="Brazil"/>
          <a:extLst>
            <a:ext uri="{FF2B5EF4-FFF2-40B4-BE49-F238E27FC236}">
              <a16:creationId xmlns:a16="http://schemas.microsoft.com/office/drawing/2014/main" id="{65AA5B5F-91C3-1446-92D2-3758BE191E16}"/>
            </a:ext>
          </a:extLst>
        </xdr:cNvPr>
        <xdr:cNvSpPr>
          <a:spLocks noChangeAspect="1" noChangeArrowheads="1"/>
        </xdr:cNvSpPr>
      </xdr:nvSpPr>
      <xdr:spPr bwMode="auto">
        <a:xfrm>
          <a:off x="0" y="4559300"/>
          <a:ext cx="2794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21</xdr:row>
      <xdr:rowOff>0</xdr:rowOff>
    </xdr:from>
    <xdr:to>
      <xdr:col>0</xdr:col>
      <xdr:colOff>292100</xdr:colOff>
      <xdr:row>21</xdr:row>
      <xdr:rowOff>177800</xdr:rowOff>
    </xdr:to>
    <xdr:sp macro="" textlink="">
      <xdr:nvSpPr>
        <xdr:cNvPr id="41" name="AutoShape 44" descr="Argentina">
          <a:hlinkClick xmlns:r="http://schemas.openxmlformats.org/officeDocument/2006/relationships" r:id="rId22" tooltip="Argentina"/>
          <a:extLst>
            <a:ext uri="{FF2B5EF4-FFF2-40B4-BE49-F238E27FC236}">
              <a16:creationId xmlns:a16="http://schemas.microsoft.com/office/drawing/2014/main" id="{217790E9-7800-BD4E-BB84-2461ABC8BE2A}"/>
            </a:ext>
          </a:extLst>
        </xdr:cNvPr>
        <xdr:cNvSpPr>
          <a:spLocks noChangeAspect="1" noChangeArrowheads="1"/>
        </xdr:cNvSpPr>
      </xdr:nvSpPr>
      <xdr:spPr bwMode="auto">
        <a:xfrm>
          <a:off x="0" y="4787900"/>
          <a:ext cx="292100" cy="177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5</xdr:col>
      <xdr:colOff>0</xdr:colOff>
      <xdr:row>59</xdr:row>
      <xdr:rowOff>0</xdr:rowOff>
    </xdr:from>
    <xdr:ext cx="292100" cy="190500"/>
    <xdr:sp macro="" textlink="">
      <xdr:nvSpPr>
        <xdr:cNvPr id="43" name="AutoShape 5" descr="Saudi Arabia">
          <a:hlinkClick xmlns:r="http://schemas.openxmlformats.org/officeDocument/2006/relationships" r:id="rId1" tooltip="Saudi Arabia"/>
          <a:extLst>
            <a:ext uri="{FF2B5EF4-FFF2-40B4-BE49-F238E27FC236}">
              <a16:creationId xmlns:a16="http://schemas.microsoft.com/office/drawing/2014/main" id="{6FDDA84C-4D17-F841-AFCB-5EC2250AFCC4}"/>
            </a:ext>
          </a:extLst>
        </xdr:cNvPr>
        <xdr:cNvSpPr>
          <a:spLocks noChangeAspect="1" noChangeArrowheads="1"/>
        </xdr:cNvSpPr>
      </xdr:nvSpPr>
      <xdr:spPr bwMode="auto">
        <a:xfrm>
          <a:off x="5486400" y="13233400"/>
          <a:ext cx="2921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59</xdr:row>
      <xdr:rowOff>0</xdr:rowOff>
    </xdr:from>
    <xdr:ext cx="292100" cy="152400"/>
    <xdr:sp macro="" textlink="">
      <xdr:nvSpPr>
        <xdr:cNvPr id="44" name="AutoShape 6" descr="United States">
          <a:hlinkClick xmlns:r="http://schemas.openxmlformats.org/officeDocument/2006/relationships" r:id="rId2" tooltip="United States"/>
          <a:extLst>
            <a:ext uri="{FF2B5EF4-FFF2-40B4-BE49-F238E27FC236}">
              <a16:creationId xmlns:a16="http://schemas.microsoft.com/office/drawing/2014/main" id="{F13ADE63-5C13-694C-BCAA-4650983C9607}"/>
            </a:ext>
          </a:extLst>
        </xdr:cNvPr>
        <xdr:cNvSpPr>
          <a:spLocks noChangeAspect="1" noChangeArrowheads="1"/>
        </xdr:cNvSpPr>
      </xdr:nvSpPr>
      <xdr:spPr bwMode="auto">
        <a:xfrm>
          <a:off x="6311900" y="13233400"/>
          <a:ext cx="2921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59</xdr:row>
      <xdr:rowOff>0</xdr:rowOff>
    </xdr:from>
    <xdr:ext cx="292100" cy="190500"/>
    <xdr:sp macro="" textlink="">
      <xdr:nvSpPr>
        <xdr:cNvPr id="45" name="AutoShape 7" descr="Italy">
          <a:hlinkClick xmlns:r="http://schemas.openxmlformats.org/officeDocument/2006/relationships" r:id="rId3" tooltip="Italy"/>
          <a:extLst>
            <a:ext uri="{FF2B5EF4-FFF2-40B4-BE49-F238E27FC236}">
              <a16:creationId xmlns:a16="http://schemas.microsoft.com/office/drawing/2014/main" id="{DDD9E7F5-A423-9F43-9380-A7C4148F9549}"/>
            </a:ext>
          </a:extLst>
        </xdr:cNvPr>
        <xdr:cNvSpPr>
          <a:spLocks noChangeAspect="1" noChangeArrowheads="1"/>
        </xdr:cNvSpPr>
      </xdr:nvSpPr>
      <xdr:spPr bwMode="auto">
        <a:xfrm>
          <a:off x="7137400" y="13233400"/>
          <a:ext cx="2921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59</xdr:row>
      <xdr:rowOff>0</xdr:rowOff>
    </xdr:from>
    <xdr:ext cx="241300" cy="190500"/>
    <xdr:sp macro="" textlink="">
      <xdr:nvSpPr>
        <xdr:cNvPr id="46" name="AutoShape 8" descr="Monaco">
          <a:hlinkClick xmlns:r="http://schemas.openxmlformats.org/officeDocument/2006/relationships" r:id="rId4" tooltip="Monaco"/>
          <a:extLst>
            <a:ext uri="{FF2B5EF4-FFF2-40B4-BE49-F238E27FC236}">
              <a16:creationId xmlns:a16="http://schemas.microsoft.com/office/drawing/2014/main" id="{79A2AA3A-413D-E541-98D5-069C185E99EB}"/>
            </a:ext>
          </a:extLst>
        </xdr:cNvPr>
        <xdr:cNvSpPr>
          <a:spLocks noChangeAspect="1" noChangeArrowheads="1"/>
        </xdr:cNvSpPr>
      </xdr:nvSpPr>
      <xdr:spPr bwMode="auto">
        <a:xfrm>
          <a:off x="7962900" y="13233400"/>
          <a:ext cx="2413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9</xdr:col>
      <xdr:colOff>0</xdr:colOff>
      <xdr:row>59</xdr:row>
      <xdr:rowOff>0</xdr:rowOff>
    </xdr:from>
    <xdr:ext cx="292100" cy="190500"/>
    <xdr:sp macro="" textlink="">
      <xdr:nvSpPr>
        <xdr:cNvPr id="47" name="AutoShape 9" descr="Spain">
          <a:hlinkClick xmlns:r="http://schemas.openxmlformats.org/officeDocument/2006/relationships" r:id="rId5" tooltip="Spain"/>
          <a:extLst>
            <a:ext uri="{FF2B5EF4-FFF2-40B4-BE49-F238E27FC236}">
              <a16:creationId xmlns:a16="http://schemas.microsoft.com/office/drawing/2014/main" id="{3D4CFDBD-2A8A-284F-B9E0-5FF96AD2B423}"/>
            </a:ext>
          </a:extLst>
        </xdr:cNvPr>
        <xdr:cNvSpPr>
          <a:spLocks noChangeAspect="1" noChangeArrowheads="1"/>
        </xdr:cNvSpPr>
      </xdr:nvSpPr>
      <xdr:spPr bwMode="auto">
        <a:xfrm>
          <a:off x="8788400" y="13233400"/>
          <a:ext cx="2921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10</xdr:col>
      <xdr:colOff>0</xdr:colOff>
      <xdr:row>59</xdr:row>
      <xdr:rowOff>0</xdr:rowOff>
    </xdr:from>
    <xdr:ext cx="292100" cy="152400"/>
    <xdr:sp macro="" textlink="">
      <xdr:nvSpPr>
        <xdr:cNvPr id="48" name="AutoShape 10" descr="Canada">
          <a:hlinkClick xmlns:r="http://schemas.openxmlformats.org/officeDocument/2006/relationships" r:id="rId6" tooltip="Canada"/>
          <a:extLst>
            <a:ext uri="{FF2B5EF4-FFF2-40B4-BE49-F238E27FC236}">
              <a16:creationId xmlns:a16="http://schemas.microsoft.com/office/drawing/2014/main" id="{B0337A4F-6A17-DA40-A0DB-F6AEC4CA1DB9}"/>
            </a:ext>
          </a:extLst>
        </xdr:cNvPr>
        <xdr:cNvSpPr>
          <a:spLocks noChangeAspect="1" noChangeArrowheads="1"/>
        </xdr:cNvSpPr>
      </xdr:nvSpPr>
      <xdr:spPr bwMode="auto">
        <a:xfrm>
          <a:off x="9613900" y="13233400"/>
          <a:ext cx="2921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59</xdr:row>
      <xdr:rowOff>0</xdr:rowOff>
    </xdr:from>
    <xdr:ext cx="292100" cy="190500"/>
    <xdr:sp macro="" textlink="">
      <xdr:nvSpPr>
        <xdr:cNvPr id="49" name="AutoShape 11" descr="Austria">
          <a:hlinkClick xmlns:r="http://schemas.openxmlformats.org/officeDocument/2006/relationships" r:id="rId7" tooltip="Austria"/>
          <a:extLst>
            <a:ext uri="{FF2B5EF4-FFF2-40B4-BE49-F238E27FC236}">
              <a16:creationId xmlns:a16="http://schemas.microsoft.com/office/drawing/2014/main" id="{79370815-7634-4D4A-9FCE-4389F4A821FD}"/>
            </a:ext>
          </a:extLst>
        </xdr:cNvPr>
        <xdr:cNvSpPr>
          <a:spLocks noChangeAspect="1" noChangeArrowheads="1"/>
        </xdr:cNvSpPr>
      </xdr:nvSpPr>
      <xdr:spPr bwMode="auto">
        <a:xfrm>
          <a:off x="10439400" y="13233400"/>
          <a:ext cx="2921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59</xdr:row>
      <xdr:rowOff>0</xdr:rowOff>
    </xdr:from>
    <xdr:ext cx="292100" cy="152400"/>
    <xdr:sp macro="" textlink="">
      <xdr:nvSpPr>
        <xdr:cNvPr id="50" name="AutoShape 12" descr="United Kingdom">
          <a:hlinkClick xmlns:r="http://schemas.openxmlformats.org/officeDocument/2006/relationships" r:id="rId8" tooltip="United Kingdom"/>
          <a:extLst>
            <a:ext uri="{FF2B5EF4-FFF2-40B4-BE49-F238E27FC236}">
              <a16:creationId xmlns:a16="http://schemas.microsoft.com/office/drawing/2014/main" id="{8FCAACF0-BA1D-5841-AEF3-DBA27FAC356A}"/>
            </a:ext>
          </a:extLst>
        </xdr:cNvPr>
        <xdr:cNvSpPr>
          <a:spLocks noChangeAspect="1" noChangeArrowheads="1"/>
        </xdr:cNvSpPr>
      </xdr:nvSpPr>
      <xdr:spPr bwMode="auto">
        <a:xfrm>
          <a:off x="11264900" y="13233400"/>
          <a:ext cx="2921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13</xdr:col>
      <xdr:colOff>0</xdr:colOff>
      <xdr:row>59</xdr:row>
      <xdr:rowOff>0</xdr:rowOff>
    </xdr:from>
    <xdr:ext cx="292100" cy="190500"/>
    <xdr:sp macro="" textlink="">
      <xdr:nvSpPr>
        <xdr:cNvPr id="51" name="AutoShape 13" descr="Belgium">
          <a:hlinkClick xmlns:r="http://schemas.openxmlformats.org/officeDocument/2006/relationships" r:id="rId9" tooltip="Belgium"/>
          <a:extLst>
            <a:ext uri="{FF2B5EF4-FFF2-40B4-BE49-F238E27FC236}">
              <a16:creationId xmlns:a16="http://schemas.microsoft.com/office/drawing/2014/main" id="{4FDD32F5-C0F9-E44D-804A-5ED0577B583B}"/>
            </a:ext>
          </a:extLst>
        </xdr:cNvPr>
        <xdr:cNvSpPr>
          <a:spLocks noChangeAspect="1" noChangeArrowheads="1"/>
        </xdr:cNvSpPr>
      </xdr:nvSpPr>
      <xdr:spPr bwMode="auto">
        <a:xfrm>
          <a:off x="12090400" y="13233400"/>
          <a:ext cx="2921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14</xdr:col>
      <xdr:colOff>0</xdr:colOff>
      <xdr:row>59</xdr:row>
      <xdr:rowOff>0</xdr:rowOff>
    </xdr:from>
    <xdr:ext cx="292100" cy="152400"/>
    <xdr:sp macro="" textlink="">
      <xdr:nvSpPr>
        <xdr:cNvPr id="52" name="AutoShape 14" descr="Hungary">
          <a:hlinkClick xmlns:r="http://schemas.openxmlformats.org/officeDocument/2006/relationships" r:id="rId10" tooltip="Hungary"/>
          <a:extLst>
            <a:ext uri="{FF2B5EF4-FFF2-40B4-BE49-F238E27FC236}">
              <a16:creationId xmlns:a16="http://schemas.microsoft.com/office/drawing/2014/main" id="{572B453B-DB78-2B4D-BB2A-474A1DCC9653}"/>
            </a:ext>
          </a:extLst>
        </xdr:cNvPr>
        <xdr:cNvSpPr>
          <a:spLocks noChangeAspect="1" noChangeArrowheads="1"/>
        </xdr:cNvSpPr>
      </xdr:nvSpPr>
      <xdr:spPr bwMode="auto">
        <a:xfrm>
          <a:off x="12915900" y="13233400"/>
          <a:ext cx="2921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59</xdr:row>
      <xdr:rowOff>0</xdr:rowOff>
    </xdr:from>
    <xdr:ext cx="292100" cy="190500"/>
    <xdr:sp macro="" textlink="">
      <xdr:nvSpPr>
        <xdr:cNvPr id="53" name="AutoShape 15" descr="Netherlands">
          <a:hlinkClick xmlns:r="http://schemas.openxmlformats.org/officeDocument/2006/relationships" r:id="rId11" tooltip="Netherlands"/>
          <a:extLst>
            <a:ext uri="{FF2B5EF4-FFF2-40B4-BE49-F238E27FC236}">
              <a16:creationId xmlns:a16="http://schemas.microsoft.com/office/drawing/2014/main" id="{5DBD09AB-7168-DA48-A623-50950AC4ECB8}"/>
            </a:ext>
          </a:extLst>
        </xdr:cNvPr>
        <xdr:cNvSpPr>
          <a:spLocks noChangeAspect="1" noChangeArrowheads="1"/>
        </xdr:cNvSpPr>
      </xdr:nvSpPr>
      <xdr:spPr bwMode="auto">
        <a:xfrm>
          <a:off x="13741400" y="13233400"/>
          <a:ext cx="2921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16</xdr:col>
      <xdr:colOff>0</xdr:colOff>
      <xdr:row>59</xdr:row>
      <xdr:rowOff>0</xdr:rowOff>
    </xdr:from>
    <xdr:ext cx="292100" cy="190500"/>
    <xdr:sp macro="" textlink="">
      <xdr:nvSpPr>
        <xdr:cNvPr id="54" name="AutoShape 16" descr="Italy">
          <a:hlinkClick xmlns:r="http://schemas.openxmlformats.org/officeDocument/2006/relationships" r:id="rId3" tooltip="Italy"/>
          <a:extLst>
            <a:ext uri="{FF2B5EF4-FFF2-40B4-BE49-F238E27FC236}">
              <a16:creationId xmlns:a16="http://schemas.microsoft.com/office/drawing/2014/main" id="{2C6BE93E-8080-BD43-9595-56CE1E1E0C18}"/>
            </a:ext>
          </a:extLst>
        </xdr:cNvPr>
        <xdr:cNvSpPr>
          <a:spLocks noChangeAspect="1" noChangeArrowheads="1"/>
        </xdr:cNvSpPr>
      </xdr:nvSpPr>
      <xdr:spPr bwMode="auto">
        <a:xfrm>
          <a:off x="14566900" y="13233400"/>
          <a:ext cx="2921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17</xdr:col>
      <xdr:colOff>0</xdr:colOff>
      <xdr:row>59</xdr:row>
      <xdr:rowOff>0</xdr:rowOff>
    </xdr:from>
    <xdr:ext cx="292100" cy="152400"/>
    <xdr:sp macro="" textlink="">
      <xdr:nvSpPr>
        <xdr:cNvPr id="55" name="AutoShape 17" descr="Azerbaijan">
          <a:hlinkClick xmlns:r="http://schemas.openxmlformats.org/officeDocument/2006/relationships" r:id="rId12" tooltip="Azerbaijan"/>
          <a:extLst>
            <a:ext uri="{FF2B5EF4-FFF2-40B4-BE49-F238E27FC236}">
              <a16:creationId xmlns:a16="http://schemas.microsoft.com/office/drawing/2014/main" id="{A41DA124-8EE4-9B4E-9864-23461B57988E}"/>
            </a:ext>
          </a:extLst>
        </xdr:cNvPr>
        <xdr:cNvSpPr>
          <a:spLocks noChangeAspect="1" noChangeArrowheads="1"/>
        </xdr:cNvSpPr>
      </xdr:nvSpPr>
      <xdr:spPr bwMode="auto">
        <a:xfrm>
          <a:off x="15392400" y="13233400"/>
          <a:ext cx="2921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18</xdr:col>
      <xdr:colOff>0</xdr:colOff>
      <xdr:row>59</xdr:row>
      <xdr:rowOff>0</xdr:rowOff>
    </xdr:from>
    <xdr:ext cx="292100" cy="190500"/>
    <xdr:sp macro="" textlink="">
      <xdr:nvSpPr>
        <xdr:cNvPr id="56" name="AutoShape 18" descr="Singapore">
          <a:hlinkClick xmlns:r="http://schemas.openxmlformats.org/officeDocument/2006/relationships" r:id="rId13" tooltip="Singapore"/>
          <a:extLst>
            <a:ext uri="{FF2B5EF4-FFF2-40B4-BE49-F238E27FC236}">
              <a16:creationId xmlns:a16="http://schemas.microsoft.com/office/drawing/2014/main" id="{5F31617C-8F00-4F46-82C3-E2C09BC54DF6}"/>
            </a:ext>
          </a:extLst>
        </xdr:cNvPr>
        <xdr:cNvSpPr>
          <a:spLocks noChangeAspect="1" noChangeArrowheads="1"/>
        </xdr:cNvSpPr>
      </xdr:nvSpPr>
      <xdr:spPr bwMode="auto">
        <a:xfrm>
          <a:off x="16217900" y="13233400"/>
          <a:ext cx="2921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19</xdr:col>
      <xdr:colOff>0</xdr:colOff>
      <xdr:row>59</xdr:row>
      <xdr:rowOff>0</xdr:rowOff>
    </xdr:from>
    <xdr:ext cx="292100" cy="152400"/>
    <xdr:sp macro="" textlink="">
      <xdr:nvSpPr>
        <xdr:cNvPr id="57" name="AutoShape 19" descr="United States">
          <a:hlinkClick xmlns:r="http://schemas.openxmlformats.org/officeDocument/2006/relationships" r:id="rId2" tooltip="United States"/>
          <a:extLst>
            <a:ext uri="{FF2B5EF4-FFF2-40B4-BE49-F238E27FC236}">
              <a16:creationId xmlns:a16="http://schemas.microsoft.com/office/drawing/2014/main" id="{84AF2F95-8A07-7746-89D3-BC2967B8AE80}"/>
            </a:ext>
          </a:extLst>
        </xdr:cNvPr>
        <xdr:cNvSpPr>
          <a:spLocks noChangeAspect="1" noChangeArrowheads="1"/>
        </xdr:cNvSpPr>
      </xdr:nvSpPr>
      <xdr:spPr bwMode="auto">
        <a:xfrm>
          <a:off x="17043400" y="13233400"/>
          <a:ext cx="2921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20</xdr:col>
      <xdr:colOff>0</xdr:colOff>
      <xdr:row>59</xdr:row>
      <xdr:rowOff>0</xdr:rowOff>
    </xdr:from>
    <xdr:ext cx="292100" cy="165100"/>
    <xdr:sp macro="" textlink="">
      <xdr:nvSpPr>
        <xdr:cNvPr id="58" name="AutoShape 20" descr="Mexico">
          <a:hlinkClick xmlns:r="http://schemas.openxmlformats.org/officeDocument/2006/relationships" r:id="rId14" tooltip="Mexico"/>
          <a:extLst>
            <a:ext uri="{FF2B5EF4-FFF2-40B4-BE49-F238E27FC236}">
              <a16:creationId xmlns:a16="http://schemas.microsoft.com/office/drawing/2014/main" id="{77F29DFF-DEF3-C740-A02A-6DAA13B7EC14}"/>
            </a:ext>
          </a:extLst>
        </xdr:cNvPr>
        <xdr:cNvSpPr>
          <a:spLocks noChangeAspect="1" noChangeArrowheads="1"/>
        </xdr:cNvSpPr>
      </xdr:nvSpPr>
      <xdr:spPr bwMode="auto">
        <a:xfrm>
          <a:off x="17907000" y="13233400"/>
          <a:ext cx="292100" cy="165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21</xdr:col>
      <xdr:colOff>0</xdr:colOff>
      <xdr:row>59</xdr:row>
      <xdr:rowOff>0</xdr:rowOff>
    </xdr:from>
    <xdr:ext cx="279400" cy="190500"/>
    <xdr:sp macro="" textlink="">
      <xdr:nvSpPr>
        <xdr:cNvPr id="59" name="AutoShape 21" descr="Brazil">
          <a:hlinkClick xmlns:r="http://schemas.openxmlformats.org/officeDocument/2006/relationships" r:id="rId15" tooltip="Brazil"/>
          <a:extLst>
            <a:ext uri="{FF2B5EF4-FFF2-40B4-BE49-F238E27FC236}">
              <a16:creationId xmlns:a16="http://schemas.microsoft.com/office/drawing/2014/main" id="{207C51F4-D7BF-8240-83D2-789FC19ADA13}"/>
            </a:ext>
          </a:extLst>
        </xdr:cNvPr>
        <xdr:cNvSpPr>
          <a:spLocks noChangeAspect="1" noChangeArrowheads="1"/>
        </xdr:cNvSpPr>
      </xdr:nvSpPr>
      <xdr:spPr bwMode="auto">
        <a:xfrm>
          <a:off x="18732500" y="13233400"/>
          <a:ext cx="2794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22</xdr:col>
      <xdr:colOff>0</xdr:colOff>
      <xdr:row>59</xdr:row>
      <xdr:rowOff>0</xdr:rowOff>
    </xdr:from>
    <xdr:ext cx="292100" cy="152400"/>
    <xdr:sp macro="" textlink="">
      <xdr:nvSpPr>
        <xdr:cNvPr id="60" name="AutoShape 22" descr="United States">
          <a:hlinkClick xmlns:r="http://schemas.openxmlformats.org/officeDocument/2006/relationships" r:id="rId2" tooltip="United States"/>
          <a:extLst>
            <a:ext uri="{FF2B5EF4-FFF2-40B4-BE49-F238E27FC236}">
              <a16:creationId xmlns:a16="http://schemas.microsoft.com/office/drawing/2014/main" id="{46864450-961A-2A4E-BCC4-96624DB40D0E}"/>
            </a:ext>
          </a:extLst>
        </xdr:cNvPr>
        <xdr:cNvSpPr>
          <a:spLocks noChangeAspect="1" noChangeArrowheads="1"/>
        </xdr:cNvSpPr>
      </xdr:nvSpPr>
      <xdr:spPr bwMode="auto">
        <a:xfrm>
          <a:off x="19558000" y="13233400"/>
          <a:ext cx="2921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23</xdr:col>
      <xdr:colOff>0</xdr:colOff>
      <xdr:row>59</xdr:row>
      <xdr:rowOff>0</xdr:rowOff>
    </xdr:from>
    <xdr:ext cx="292100" cy="114300"/>
    <xdr:sp macro="" textlink="">
      <xdr:nvSpPr>
        <xdr:cNvPr id="61" name="AutoShape 23" descr="Qatar">
          <a:hlinkClick xmlns:r="http://schemas.openxmlformats.org/officeDocument/2006/relationships" r:id="rId16" tooltip="Qatar"/>
          <a:extLst>
            <a:ext uri="{FF2B5EF4-FFF2-40B4-BE49-F238E27FC236}">
              <a16:creationId xmlns:a16="http://schemas.microsoft.com/office/drawing/2014/main" id="{98C08B37-670C-3E4C-BB91-27568B2821A2}"/>
            </a:ext>
          </a:extLst>
        </xdr:cNvPr>
        <xdr:cNvSpPr>
          <a:spLocks noChangeAspect="1" noChangeArrowheads="1"/>
        </xdr:cNvSpPr>
      </xdr:nvSpPr>
      <xdr:spPr bwMode="auto">
        <a:xfrm>
          <a:off x="20383500" y="13233400"/>
          <a:ext cx="292100" cy="1143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24</xdr:col>
      <xdr:colOff>0</xdr:colOff>
      <xdr:row>59</xdr:row>
      <xdr:rowOff>0</xdr:rowOff>
    </xdr:from>
    <xdr:ext cx="292100" cy="152400"/>
    <xdr:sp macro="" textlink="">
      <xdr:nvSpPr>
        <xdr:cNvPr id="62" name="AutoShape 24" descr="United Arab Emirates">
          <a:hlinkClick xmlns:r="http://schemas.openxmlformats.org/officeDocument/2006/relationships" r:id="rId17" tooltip="United Arab Emirates"/>
          <a:extLst>
            <a:ext uri="{FF2B5EF4-FFF2-40B4-BE49-F238E27FC236}">
              <a16:creationId xmlns:a16="http://schemas.microsoft.com/office/drawing/2014/main" id="{39298156-F541-ED41-A373-920DAD215CFE}"/>
            </a:ext>
          </a:extLst>
        </xdr:cNvPr>
        <xdr:cNvSpPr>
          <a:spLocks noChangeAspect="1" noChangeArrowheads="1"/>
        </xdr:cNvSpPr>
      </xdr:nvSpPr>
      <xdr:spPr bwMode="auto">
        <a:xfrm>
          <a:off x="21209000" y="13233400"/>
          <a:ext cx="2921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60</xdr:row>
      <xdr:rowOff>0</xdr:rowOff>
    </xdr:from>
    <xdr:ext cx="292100" cy="152400"/>
    <xdr:sp macro="" textlink="">
      <xdr:nvSpPr>
        <xdr:cNvPr id="63" name="AutoShape 25" descr="United Kingdom">
          <a:hlinkClick xmlns:r="http://schemas.openxmlformats.org/officeDocument/2006/relationships" r:id="rId8" tooltip="United Kingdom"/>
          <a:extLst>
            <a:ext uri="{FF2B5EF4-FFF2-40B4-BE49-F238E27FC236}">
              <a16:creationId xmlns:a16="http://schemas.microsoft.com/office/drawing/2014/main" id="{C754237F-5E12-D845-9DC1-62E6EC57C8F6}"/>
            </a:ext>
          </a:extLst>
        </xdr:cNvPr>
        <xdr:cNvSpPr>
          <a:spLocks noChangeAspect="1" noChangeArrowheads="1"/>
        </xdr:cNvSpPr>
      </xdr:nvSpPr>
      <xdr:spPr bwMode="auto">
        <a:xfrm>
          <a:off x="0" y="13436600"/>
          <a:ext cx="2921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61</xdr:row>
      <xdr:rowOff>0</xdr:rowOff>
    </xdr:from>
    <xdr:ext cx="292100" cy="190500"/>
    <xdr:sp macro="" textlink="">
      <xdr:nvSpPr>
        <xdr:cNvPr id="64" name="AutoShape 26" descr="Netherlands">
          <a:hlinkClick xmlns:r="http://schemas.openxmlformats.org/officeDocument/2006/relationships" r:id="rId11" tooltip="Netherlands"/>
          <a:extLst>
            <a:ext uri="{FF2B5EF4-FFF2-40B4-BE49-F238E27FC236}">
              <a16:creationId xmlns:a16="http://schemas.microsoft.com/office/drawing/2014/main" id="{5FBFFA3B-3E79-7A49-852A-3A79CA66BC86}"/>
            </a:ext>
          </a:extLst>
        </xdr:cNvPr>
        <xdr:cNvSpPr>
          <a:spLocks noChangeAspect="1" noChangeArrowheads="1"/>
        </xdr:cNvSpPr>
      </xdr:nvSpPr>
      <xdr:spPr bwMode="auto">
        <a:xfrm>
          <a:off x="0" y="13665200"/>
          <a:ext cx="2921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62</xdr:row>
      <xdr:rowOff>0</xdr:rowOff>
    </xdr:from>
    <xdr:ext cx="292100" cy="152400"/>
    <xdr:pic>
      <xdr:nvPicPr>
        <xdr:cNvPr id="65" name="Picture 64" descr="Australia">
          <a:hlinkClick xmlns:r="http://schemas.openxmlformats.org/officeDocument/2006/relationships" r:id="rId23" tooltip="Australia"/>
          <a:extLst>
            <a:ext uri="{FF2B5EF4-FFF2-40B4-BE49-F238E27FC236}">
              <a16:creationId xmlns:a16="http://schemas.microsoft.com/office/drawing/2014/main" id="{B456EEF9-8435-6D49-8C8B-FCCD068C3558}"/>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0" y="13893800"/>
          <a:ext cx="292100" cy="1524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63</xdr:row>
      <xdr:rowOff>0</xdr:rowOff>
    </xdr:from>
    <xdr:ext cx="292100" cy="152400"/>
    <xdr:sp macro="" textlink="">
      <xdr:nvSpPr>
        <xdr:cNvPr id="66" name="AutoShape 28" descr="United Kingdom">
          <a:hlinkClick xmlns:r="http://schemas.openxmlformats.org/officeDocument/2006/relationships" r:id="rId8" tooltip="United Kingdom"/>
          <a:extLst>
            <a:ext uri="{FF2B5EF4-FFF2-40B4-BE49-F238E27FC236}">
              <a16:creationId xmlns:a16="http://schemas.microsoft.com/office/drawing/2014/main" id="{DBBE6649-3F58-324F-BE2F-66967C5A8851}"/>
            </a:ext>
          </a:extLst>
        </xdr:cNvPr>
        <xdr:cNvSpPr>
          <a:spLocks noChangeAspect="1" noChangeArrowheads="1"/>
        </xdr:cNvSpPr>
      </xdr:nvSpPr>
      <xdr:spPr bwMode="auto">
        <a:xfrm>
          <a:off x="0" y="14122400"/>
          <a:ext cx="2921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64</xdr:row>
      <xdr:rowOff>0</xdr:rowOff>
    </xdr:from>
    <xdr:ext cx="241300" cy="190500"/>
    <xdr:sp macro="" textlink="">
      <xdr:nvSpPr>
        <xdr:cNvPr id="67" name="AutoShape 29" descr="Monaco">
          <a:hlinkClick xmlns:r="http://schemas.openxmlformats.org/officeDocument/2006/relationships" r:id="rId4" tooltip="Monaco"/>
          <a:extLst>
            <a:ext uri="{FF2B5EF4-FFF2-40B4-BE49-F238E27FC236}">
              <a16:creationId xmlns:a16="http://schemas.microsoft.com/office/drawing/2014/main" id="{DB919B9F-F95B-1F48-BD84-70D679CDA5AC}"/>
            </a:ext>
          </a:extLst>
        </xdr:cNvPr>
        <xdr:cNvSpPr>
          <a:spLocks noChangeAspect="1" noChangeArrowheads="1"/>
        </xdr:cNvSpPr>
      </xdr:nvSpPr>
      <xdr:spPr bwMode="auto">
        <a:xfrm>
          <a:off x="0" y="14351000"/>
          <a:ext cx="2413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65</xdr:row>
      <xdr:rowOff>0</xdr:rowOff>
    </xdr:from>
    <xdr:ext cx="292100" cy="152400"/>
    <xdr:sp macro="" textlink="">
      <xdr:nvSpPr>
        <xdr:cNvPr id="68" name="AutoShape 30" descr="United Kingdom">
          <a:hlinkClick xmlns:r="http://schemas.openxmlformats.org/officeDocument/2006/relationships" r:id="rId8" tooltip="United Kingdom"/>
          <a:extLst>
            <a:ext uri="{FF2B5EF4-FFF2-40B4-BE49-F238E27FC236}">
              <a16:creationId xmlns:a16="http://schemas.microsoft.com/office/drawing/2014/main" id="{6BFB962E-CDAB-CC48-B8EC-1063F3A354E5}"/>
            </a:ext>
          </a:extLst>
        </xdr:cNvPr>
        <xdr:cNvSpPr>
          <a:spLocks noChangeAspect="1" noChangeArrowheads="1"/>
        </xdr:cNvSpPr>
      </xdr:nvSpPr>
      <xdr:spPr bwMode="auto">
        <a:xfrm>
          <a:off x="0" y="14579600"/>
          <a:ext cx="2921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66</xdr:row>
      <xdr:rowOff>0</xdr:rowOff>
    </xdr:from>
    <xdr:ext cx="292100" cy="190500"/>
    <xdr:sp macro="" textlink="">
      <xdr:nvSpPr>
        <xdr:cNvPr id="69" name="AutoShape 31" descr="Italy">
          <a:hlinkClick xmlns:r="http://schemas.openxmlformats.org/officeDocument/2006/relationships" r:id="rId3" tooltip="Italy"/>
          <a:extLst>
            <a:ext uri="{FF2B5EF4-FFF2-40B4-BE49-F238E27FC236}">
              <a16:creationId xmlns:a16="http://schemas.microsoft.com/office/drawing/2014/main" id="{C65B15F3-33F9-584F-ADD2-0F7FEB01B3AE}"/>
            </a:ext>
          </a:extLst>
        </xdr:cNvPr>
        <xdr:cNvSpPr>
          <a:spLocks noChangeAspect="1" noChangeArrowheads="1"/>
        </xdr:cNvSpPr>
      </xdr:nvSpPr>
      <xdr:spPr bwMode="auto">
        <a:xfrm>
          <a:off x="0" y="14808200"/>
          <a:ext cx="2921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67</xdr:row>
      <xdr:rowOff>0</xdr:rowOff>
    </xdr:from>
    <xdr:ext cx="292100" cy="190500"/>
    <xdr:sp macro="" textlink="">
      <xdr:nvSpPr>
        <xdr:cNvPr id="70" name="AutoShape 32" descr="Thailand">
          <a:hlinkClick xmlns:r="http://schemas.openxmlformats.org/officeDocument/2006/relationships" r:id="rId18" tooltip="Thailand"/>
          <a:extLst>
            <a:ext uri="{FF2B5EF4-FFF2-40B4-BE49-F238E27FC236}">
              <a16:creationId xmlns:a16="http://schemas.microsoft.com/office/drawing/2014/main" id="{F85BEB71-BCC9-3743-91D7-D205AE2F6917}"/>
            </a:ext>
          </a:extLst>
        </xdr:cNvPr>
        <xdr:cNvSpPr>
          <a:spLocks noChangeAspect="1" noChangeArrowheads="1"/>
        </xdr:cNvSpPr>
      </xdr:nvSpPr>
      <xdr:spPr bwMode="auto">
        <a:xfrm>
          <a:off x="0" y="15036800"/>
          <a:ext cx="2921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68</xdr:row>
      <xdr:rowOff>0</xdr:rowOff>
    </xdr:from>
    <xdr:ext cx="292100" cy="190500"/>
    <xdr:sp macro="" textlink="">
      <xdr:nvSpPr>
        <xdr:cNvPr id="71" name="AutoShape 33" descr="Spain">
          <a:hlinkClick xmlns:r="http://schemas.openxmlformats.org/officeDocument/2006/relationships" r:id="rId5" tooltip="Spain"/>
          <a:extLst>
            <a:ext uri="{FF2B5EF4-FFF2-40B4-BE49-F238E27FC236}">
              <a16:creationId xmlns:a16="http://schemas.microsoft.com/office/drawing/2014/main" id="{30A10F1D-DCD8-4E4C-B55F-DD8FAB13163B}"/>
            </a:ext>
          </a:extLst>
        </xdr:cNvPr>
        <xdr:cNvSpPr>
          <a:spLocks noChangeAspect="1" noChangeArrowheads="1"/>
        </xdr:cNvSpPr>
      </xdr:nvSpPr>
      <xdr:spPr bwMode="auto">
        <a:xfrm>
          <a:off x="0" y="15265400"/>
          <a:ext cx="2921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69</xdr:row>
      <xdr:rowOff>0</xdr:rowOff>
    </xdr:from>
    <xdr:ext cx="292100" cy="190500"/>
    <xdr:sp macro="" textlink="">
      <xdr:nvSpPr>
        <xdr:cNvPr id="72" name="AutoShape 34" descr="Spain">
          <a:hlinkClick xmlns:r="http://schemas.openxmlformats.org/officeDocument/2006/relationships" r:id="rId5" tooltip="Spain"/>
          <a:extLst>
            <a:ext uri="{FF2B5EF4-FFF2-40B4-BE49-F238E27FC236}">
              <a16:creationId xmlns:a16="http://schemas.microsoft.com/office/drawing/2014/main" id="{6B7867D1-C524-C94A-BE1B-F22604EA41E9}"/>
            </a:ext>
          </a:extLst>
        </xdr:cNvPr>
        <xdr:cNvSpPr>
          <a:spLocks noChangeAspect="1" noChangeArrowheads="1"/>
        </xdr:cNvSpPr>
      </xdr:nvSpPr>
      <xdr:spPr bwMode="auto">
        <a:xfrm>
          <a:off x="0" y="15494000"/>
          <a:ext cx="2921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70</xdr:row>
      <xdr:rowOff>0</xdr:rowOff>
    </xdr:from>
    <xdr:ext cx="292100" cy="177800"/>
    <xdr:sp macro="" textlink="">
      <xdr:nvSpPr>
        <xdr:cNvPr id="73" name="AutoShape 35" descr="Germany">
          <a:hlinkClick xmlns:r="http://schemas.openxmlformats.org/officeDocument/2006/relationships" r:id="rId19" tooltip="Germany"/>
          <a:extLst>
            <a:ext uri="{FF2B5EF4-FFF2-40B4-BE49-F238E27FC236}">
              <a16:creationId xmlns:a16="http://schemas.microsoft.com/office/drawing/2014/main" id="{780E5195-DF2F-B549-BA98-9E61C72585C4}"/>
            </a:ext>
          </a:extLst>
        </xdr:cNvPr>
        <xdr:cNvSpPr>
          <a:spLocks noChangeAspect="1" noChangeArrowheads="1"/>
        </xdr:cNvSpPr>
      </xdr:nvSpPr>
      <xdr:spPr bwMode="auto">
        <a:xfrm>
          <a:off x="0" y="15722600"/>
          <a:ext cx="292100" cy="177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71</xdr:row>
      <xdr:rowOff>0</xdr:rowOff>
    </xdr:from>
    <xdr:ext cx="292100" cy="190500"/>
    <xdr:sp macro="" textlink="">
      <xdr:nvSpPr>
        <xdr:cNvPr id="74" name="AutoShape 36" descr="France">
          <a:hlinkClick xmlns:r="http://schemas.openxmlformats.org/officeDocument/2006/relationships" r:id="rId20" tooltip="France"/>
          <a:extLst>
            <a:ext uri="{FF2B5EF4-FFF2-40B4-BE49-F238E27FC236}">
              <a16:creationId xmlns:a16="http://schemas.microsoft.com/office/drawing/2014/main" id="{33F30FCA-2252-574C-96F4-59AE38FDCD41}"/>
            </a:ext>
          </a:extLst>
        </xdr:cNvPr>
        <xdr:cNvSpPr>
          <a:spLocks noChangeAspect="1" noChangeArrowheads="1"/>
        </xdr:cNvSpPr>
      </xdr:nvSpPr>
      <xdr:spPr bwMode="auto">
        <a:xfrm>
          <a:off x="0" y="15951200"/>
          <a:ext cx="2921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72</xdr:row>
      <xdr:rowOff>0</xdr:rowOff>
    </xdr:from>
    <xdr:ext cx="292100" cy="152400"/>
    <xdr:sp macro="" textlink="">
      <xdr:nvSpPr>
        <xdr:cNvPr id="75" name="AutoShape 37" descr="United Kingdom">
          <a:hlinkClick xmlns:r="http://schemas.openxmlformats.org/officeDocument/2006/relationships" r:id="rId8" tooltip="United Kingdom"/>
          <a:extLst>
            <a:ext uri="{FF2B5EF4-FFF2-40B4-BE49-F238E27FC236}">
              <a16:creationId xmlns:a16="http://schemas.microsoft.com/office/drawing/2014/main" id="{985231D7-7B16-1149-A0CC-E4FCA150F3B0}"/>
            </a:ext>
          </a:extLst>
        </xdr:cNvPr>
        <xdr:cNvSpPr>
          <a:spLocks noChangeAspect="1" noChangeArrowheads="1"/>
        </xdr:cNvSpPr>
      </xdr:nvSpPr>
      <xdr:spPr bwMode="auto">
        <a:xfrm>
          <a:off x="0" y="16179800"/>
          <a:ext cx="2921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73</xdr:row>
      <xdr:rowOff>0</xdr:rowOff>
    </xdr:from>
    <xdr:ext cx="292100" cy="152400"/>
    <xdr:sp macro="" textlink="">
      <xdr:nvSpPr>
        <xdr:cNvPr id="76" name="AutoShape 38" descr="New Zealand">
          <a:hlinkClick xmlns:r="http://schemas.openxmlformats.org/officeDocument/2006/relationships" r:id="rId21" tooltip="New Zealand"/>
          <a:extLst>
            <a:ext uri="{FF2B5EF4-FFF2-40B4-BE49-F238E27FC236}">
              <a16:creationId xmlns:a16="http://schemas.microsoft.com/office/drawing/2014/main" id="{471F28F4-47F6-C642-88F3-C98DF19AEEA6}"/>
            </a:ext>
          </a:extLst>
        </xdr:cNvPr>
        <xdr:cNvSpPr>
          <a:spLocks noChangeAspect="1" noChangeArrowheads="1"/>
        </xdr:cNvSpPr>
      </xdr:nvSpPr>
      <xdr:spPr bwMode="auto">
        <a:xfrm>
          <a:off x="0" y="16408400"/>
          <a:ext cx="2921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74</xdr:row>
      <xdr:rowOff>0</xdr:rowOff>
    </xdr:from>
    <xdr:ext cx="292100" cy="190500"/>
    <xdr:sp macro="" textlink="">
      <xdr:nvSpPr>
        <xdr:cNvPr id="77" name="AutoShape 39" descr="France">
          <a:hlinkClick xmlns:r="http://schemas.openxmlformats.org/officeDocument/2006/relationships" r:id="rId20" tooltip="France"/>
          <a:extLst>
            <a:ext uri="{FF2B5EF4-FFF2-40B4-BE49-F238E27FC236}">
              <a16:creationId xmlns:a16="http://schemas.microsoft.com/office/drawing/2014/main" id="{3C23001F-1C85-C240-8A44-AAB0EB2EB3D0}"/>
            </a:ext>
          </a:extLst>
        </xdr:cNvPr>
        <xdr:cNvSpPr>
          <a:spLocks noChangeAspect="1" noChangeArrowheads="1"/>
        </xdr:cNvSpPr>
      </xdr:nvSpPr>
      <xdr:spPr bwMode="auto">
        <a:xfrm>
          <a:off x="0" y="16637000"/>
          <a:ext cx="2921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75</xdr:row>
      <xdr:rowOff>0</xdr:rowOff>
    </xdr:from>
    <xdr:ext cx="292100" cy="152400"/>
    <xdr:sp macro="" textlink="">
      <xdr:nvSpPr>
        <xdr:cNvPr id="78" name="AutoShape 40" descr="Canada">
          <a:hlinkClick xmlns:r="http://schemas.openxmlformats.org/officeDocument/2006/relationships" r:id="rId6" tooltip="Canada"/>
          <a:extLst>
            <a:ext uri="{FF2B5EF4-FFF2-40B4-BE49-F238E27FC236}">
              <a16:creationId xmlns:a16="http://schemas.microsoft.com/office/drawing/2014/main" id="{320F8781-1FA6-374A-AA39-31C4F15CC12F}"/>
            </a:ext>
          </a:extLst>
        </xdr:cNvPr>
        <xdr:cNvSpPr>
          <a:spLocks noChangeAspect="1" noChangeArrowheads="1"/>
        </xdr:cNvSpPr>
      </xdr:nvSpPr>
      <xdr:spPr bwMode="auto">
        <a:xfrm>
          <a:off x="0" y="16865600"/>
          <a:ext cx="2921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76</xdr:row>
      <xdr:rowOff>0</xdr:rowOff>
    </xdr:from>
    <xdr:ext cx="292100" cy="190500"/>
    <xdr:pic>
      <xdr:nvPicPr>
        <xdr:cNvPr id="79" name="Picture 78" descr="Japan">
          <a:hlinkClick xmlns:r="http://schemas.openxmlformats.org/officeDocument/2006/relationships" r:id="rId25" tooltip="Japan"/>
          <a:extLst>
            <a:ext uri="{FF2B5EF4-FFF2-40B4-BE49-F238E27FC236}">
              <a16:creationId xmlns:a16="http://schemas.microsoft.com/office/drawing/2014/main" id="{379DFDBF-E1CA-684A-B7AF-814A15DB8147}"/>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0" y="17094200"/>
          <a:ext cx="292100" cy="1905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77</xdr:row>
      <xdr:rowOff>0</xdr:rowOff>
    </xdr:from>
    <xdr:ext cx="292100" cy="190500"/>
    <xdr:sp macro="" textlink="">
      <xdr:nvSpPr>
        <xdr:cNvPr id="80" name="AutoShape 42" descr="France">
          <a:hlinkClick xmlns:r="http://schemas.openxmlformats.org/officeDocument/2006/relationships" r:id="rId20" tooltip="France"/>
          <a:extLst>
            <a:ext uri="{FF2B5EF4-FFF2-40B4-BE49-F238E27FC236}">
              <a16:creationId xmlns:a16="http://schemas.microsoft.com/office/drawing/2014/main" id="{7984988C-D3D1-C74A-AC43-BFA9DE61723F}"/>
            </a:ext>
          </a:extLst>
        </xdr:cNvPr>
        <xdr:cNvSpPr>
          <a:spLocks noChangeAspect="1" noChangeArrowheads="1"/>
        </xdr:cNvSpPr>
      </xdr:nvSpPr>
      <xdr:spPr bwMode="auto">
        <a:xfrm>
          <a:off x="0" y="17322800"/>
          <a:ext cx="2921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78</xdr:row>
      <xdr:rowOff>0</xdr:rowOff>
    </xdr:from>
    <xdr:ext cx="279400" cy="190500"/>
    <xdr:sp macro="" textlink="">
      <xdr:nvSpPr>
        <xdr:cNvPr id="81" name="AutoShape 43" descr="Brazil">
          <a:hlinkClick xmlns:r="http://schemas.openxmlformats.org/officeDocument/2006/relationships" r:id="rId15" tooltip="Brazil"/>
          <a:extLst>
            <a:ext uri="{FF2B5EF4-FFF2-40B4-BE49-F238E27FC236}">
              <a16:creationId xmlns:a16="http://schemas.microsoft.com/office/drawing/2014/main" id="{E0279774-F159-264D-BE00-89E237CBDAC1}"/>
            </a:ext>
          </a:extLst>
        </xdr:cNvPr>
        <xdr:cNvSpPr>
          <a:spLocks noChangeAspect="1" noChangeArrowheads="1"/>
        </xdr:cNvSpPr>
      </xdr:nvSpPr>
      <xdr:spPr bwMode="auto">
        <a:xfrm>
          <a:off x="0" y="17551400"/>
          <a:ext cx="2794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79</xdr:row>
      <xdr:rowOff>0</xdr:rowOff>
    </xdr:from>
    <xdr:ext cx="292100" cy="177800"/>
    <xdr:sp macro="" textlink="">
      <xdr:nvSpPr>
        <xdr:cNvPr id="82" name="AutoShape 44" descr="Argentina">
          <a:hlinkClick xmlns:r="http://schemas.openxmlformats.org/officeDocument/2006/relationships" r:id="rId22" tooltip="Argentina"/>
          <a:extLst>
            <a:ext uri="{FF2B5EF4-FFF2-40B4-BE49-F238E27FC236}">
              <a16:creationId xmlns:a16="http://schemas.microsoft.com/office/drawing/2014/main" id="{55AF081F-285C-1540-B07F-676567FCD909}"/>
            </a:ext>
          </a:extLst>
        </xdr:cNvPr>
        <xdr:cNvSpPr>
          <a:spLocks noChangeAspect="1" noChangeArrowheads="1"/>
        </xdr:cNvSpPr>
      </xdr:nvSpPr>
      <xdr:spPr bwMode="auto">
        <a:xfrm>
          <a:off x="0" y="17780000"/>
          <a:ext cx="292100" cy="177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80</xdr:row>
      <xdr:rowOff>0</xdr:rowOff>
    </xdr:from>
    <xdr:ext cx="292100" cy="152400"/>
    <xdr:pic>
      <xdr:nvPicPr>
        <xdr:cNvPr id="83" name="Picture 82" descr="Australia">
          <a:hlinkClick xmlns:r="http://schemas.openxmlformats.org/officeDocument/2006/relationships" r:id="rId23" tooltip="Australia"/>
          <a:extLst>
            <a:ext uri="{FF2B5EF4-FFF2-40B4-BE49-F238E27FC236}">
              <a16:creationId xmlns:a16="http://schemas.microsoft.com/office/drawing/2014/main" id="{24C10DDB-9779-3C43-B5BF-2D8791701D40}"/>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0" y="18008600"/>
          <a:ext cx="292100" cy="1524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27</xdr:row>
      <xdr:rowOff>0</xdr:rowOff>
    </xdr:from>
    <xdr:ext cx="292100" cy="152400"/>
    <xdr:sp macro="" textlink="">
      <xdr:nvSpPr>
        <xdr:cNvPr id="84" name="AutoShape 25" descr="United Kingdom">
          <a:hlinkClick xmlns:r="http://schemas.openxmlformats.org/officeDocument/2006/relationships" r:id="rId8" tooltip="United Kingdom"/>
          <a:extLst>
            <a:ext uri="{FF2B5EF4-FFF2-40B4-BE49-F238E27FC236}">
              <a16:creationId xmlns:a16="http://schemas.microsoft.com/office/drawing/2014/main" id="{69DCC157-B45E-C14B-88FE-DBA5626A820B}"/>
            </a:ext>
          </a:extLst>
        </xdr:cNvPr>
        <xdr:cNvSpPr>
          <a:spLocks noChangeAspect="1" noChangeArrowheads="1"/>
        </xdr:cNvSpPr>
      </xdr:nvSpPr>
      <xdr:spPr bwMode="auto">
        <a:xfrm>
          <a:off x="0" y="6096000"/>
          <a:ext cx="2921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28</xdr:row>
      <xdr:rowOff>0</xdr:rowOff>
    </xdr:from>
    <xdr:ext cx="292100" cy="190500"/>
    <xdr:sp macro="" textlink="">
      <xdr:nvSpPr>
        <xdr:cNvPr id="85" name="AutoShape 26" descr="Netherlands">
          <a:hlinkClick xmlns:r="http://schemas.openxmlformats.org/officeDocument/2006/relationships" r:id="rId11" tooltip="Netherlands"/>
          <a:extLst>
            <a:ext uri="{FF2B5EF4-FFF2-40B4-BE49-F238E27FC236}">
              <a16:creationId xmlns:a16="http://schemas.microsoft.com/office/drawing/2014/main" id="{BA66ADBB-9D66-BC46-A977-55E60ED3FD18}"/>
            </a:ext>
          </a:extLst>
        </xdr:cNvPr>
        <xdr:cNvSpPr>
          <a:spLocks noChangeAspect="1" noChangeArrowheads="1"/>
        </xdr:cNvSpPr>
      </xdr:nvSpPr>
      <xdr:spPr bwMode="auto">
        <a:xfrm>
          <a:off x="0" y="6324600"/>
          <a:ext cx="2921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30</xdr:row>
      <xdr:rowOff>0</xdr:rowOff>
    </xdr:from>
    <xdr:ext cx="292100" cy="152400"/>
    <xdr:sp macro="" textlink="">
      <xdr:nvSpPr>
        <xdr:cNvPr id="87" name="AutoShape 28" descr="United Kingdom">
          <a:hlinkClick xmlns:r="http://schemas.openxmlformats.org/officeDocument/2006/relationships" r:id="rId8" tooltip="United Kingdom"/>
          <a:extLst>
            <a:ext uri="{FF2B5EF4-FFF2-40B4-BE49-F238E27FC236}">
              <a16:creationId xmlns:a16="http://schemas.microsoft.com/office/drawing/2014/main" id="{22DF16BE-BD05-5342-8F49-FE80ECC5C37C}"/>
            </a:ext>
          </a:extLst>
        </xdr:cNvPr>
        <xdr:cNvSpPr>
          <a:spLocks noChangeAspect="1" noChangeArrowheads="1"/>
        </xdr:cNvSpPr>
      </xdr:nvSpPr>
      <xdr:spPr bwMode="auto">
        <a:xfrm>
          <a:off x="0" y="6781800"/>
          <a:ext cx="2921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31</xdr:row>
      <xdr:rowOff>0</xdr:rowOff>
    </xdr:from>
    <xdr:ext cx="241300" cy="190500"/>
    <xdr:sp macro="" textlink="">
      <xdr:nvSpPr>
        <xdr:cNvPr id="88" name="AutoShape 29" descr="Monaco">
          <a:hlinkClick xmlns:r="http://schemas.openxmlformats.org/officeDocument/2006/relationships" r:id="rId4" tooltip="Monaco"/>
          <a:extLst>
            <a:ext uri="{FF2B5EF4-FFF2-40B4-BE49-F238E27FC236}">
              <a16:creationId xmlns:a16="http://schemas.microsoft.com/office/drawing/2014/main" id="{0F6C011E-7449-854D-8786-09909B6FB1F8}"/>
            </a:ext>
          </a:extLst>
        </xdr:cNvPr>
        <xdr:cNvSpPr>
          <a:spLocks noChangeAspect="1" noChangeArrowheads="1"/>
        </xdr:cNvSpPr>
      </xdr:nvSpPr>
      <xdr:spPr bwMode="auto">
        <a:xfrm>
          <a:off x="0" y="7010400"/>
          <a:ext cx="2413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32</xdr:row>
      <xdr:rowOff>0</xdr:rowOff>
    </xdr:from>
    <xdr:ext cx="292100" cy="152400"/>
    <xdr:sp macro="" textlink="">
      <xdr:nvSpPr>
        <xdr:cNvPr id="89" name="AutoShape 30" descr="United Kingdom">
          <a:hlinkClick xmlns:r="http://schemas.openxmlformats.org/officeDocument/2006/relationships" r:id="rId8" tooltip="United Kingdom"/>
          <a:extLst>
            <a:ext uri="{FF2B5EF4-FFF2-40B4-BE49-F238E27FC236}">
              <a16:creationId xmlns:a16="http://schemas.microsoft.com/office/drawing/2014/main" id="{CF6B08EB-18B5-5D43-9E50-0517A14C8396}"/>
            </a:ext>
          </a:extLst>
        </xdr:cNvPr>
        <xdr:cNvSpPr>
          <a:spLocks noChangeAspect="1" noChangeArrowheads="1"/>
        </xdr:cNvSpPr>
      </xdr:nvSpPr>
      <xdr:spPr bwMode="auto">
        <a:xfrm>
          <a:off x="0" y="7239000"/>
          <a:ext cx="2921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33</xdr:row>
      <xdr:rowOff>0</xdr:rowOff>
    </xdr:from>
    <xdr:ext cx="292100" cy="190500"/>
    <xdr:sp macro="" textlink="">
      <xdr:nvSpPr>
        <xdr:cNvPr id="90" name="AutoShape 31" descr="Italy">
          <a:hlinkClick xmlns:r="http://schemas.openxmlformats.org/officeDocument/2006/relationships" r:id="rId3" tooltip="Italy"/>
          <a:extLst>
            <a:ext uri="{FF2B5EF4-FFF2-40B4-BE49-F238E27FC236}">
              <a16:creationId xmlns:a16="http://schemas.microsoft.com/office/drawing/2014/main" id="{1C3F4909-1E32-2A4B-8331-DE012E4B3F09}"/>
            </a:ext>
          </a:extLst>
        </xdr:cNvPr>
        <xdr:cNvSpPr>
          <a:spLocks noChangeAspect="1" noChangeArrowheads="1"/>
        </xdr:cNvSpPr>
      </xdr:nvSpPr>
      <xdr:spPr bwMode="auto">
        <a:xfrm>
          <a:off x="0" y="7480300"/>
          <a:ext cx="2921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34</xdr:row>
      <xdr:rowOff>0</xdr:rowOff>
    </xdr:from>
    <xdr:ext cx="292100" cy="190500"/>
    <xdr:sp macro="" textlink="">
      <xdr:nvSpPr>
        <xdr:cNvPr id="91" name="AutoShape 32" descr="Thailand">
          <a:hlinkClick xmlns:r="http://schemas.openxmlformats.org/officeDocument/2006/relationships" r:id="rId18" tooltip="Thailand"/>
          <a:extLst>
            <a:ext uri="{FF2B5EF4-FFF2-40B4-BE49-F238E27FC236}">
              <a16:creationId xmlns:a16="http://schemas.microsoft.com/office/drawing/2014/main" id="{8FAE3B8B-9E92-234E-9A7F-A642E4A592F6}"/>
            </a:ext>
          </a:extLst>
        </xdr:cNvPr>
        <xdr:cNvSpPr>
          <a:spLocks noChangeAspect="1" noChangeArrowheads="1"/>
        </xdr:cNvSpPr>
      </xdr:nvSpPr>
      <xdr:spPr bwMode="auto">
        <a:xfrm>
          <a:off x="0" y="7708900"/>
          <a:ext cx="2921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35</xdr:row>
      <xdr:rowOff>0</xdr:rowOff>
    </xdr:from>
    <xdr:ext cx="292100" cy="190500"/>
    <xdr:sp macro="" textlink="">
      <xdr:nvSpPr>
        <xdr:cNvPr id="92" name="AutoShape 33" descr="Spain">
          <a:hlinkClick xmlns:r="http://schemas.openxmlformats.org/officeDocument/2006/relationships" r:id="rId5" tooltip="Spain"/>
          <a:extLst>
            <a:ext uri="{FF2B5EF4-FFF2-40B4-BE49-F238E27FC236}">
              <a16:creationId xmlns:a16="http://schemas.microsoft.com/office/drawing/2014/main" id="{C8490D7E-236C-8B45-8B17-E179C27499E1}"/>
            </a:ext>
          </a:extLst>
        </xdr:cNvPr>
        <xdr:cNvSpPr>
          <a:spLocks noChangeAspect="1" noChangeArrowheads="1"/>
        </xdr:cNvSpPr>
      </xdr:nvSpPr>
      <xdr:spPr bwMode="auto">
        <a:xfrm>
          <a:off x="0" y="7937500"/>
          <a:ext cx="2921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36</xdr:row>
      <xdr:rowOff>0</xdr:rowOff>
    </xdr:from>
    <xdr:ext cx="292100" cy="190500"/>
    <xdr:sp macro="" textlink="">
      <xdr:nvSpPr>
        <xdr:cNvPr id="93" name="AutoShape 34" descr="Spain">
          <a:hlinkClick xmlns:r="http://schemas.openxmlformats.org/officeDocument/2006/relationships" r:id="rId5" tooltip="Spain"/>
          <a:extLst>
            <a:ext uri="{FF2B5EF4-FFF2-40B4-BE49-F238E27FC236}">
              <a16:creationId xmlns:a16="http://schemas.microsoft.com/office/drawing/2014/main" id="{23F14BC0-F77C-5745-A31F-248AF54D0B4B}"/>
            </a:ext>
          </a:extLst>
        </xdr:cNvPr>
        <xdr:cNvSpPr>
          <a:spLocks noChangeAspect="1" noChangeArrowheads="1"/>
        </xdr:cNvSpPr>
      </xdr:nvSpPr>
      <xdr:spPr bwMode="auto">
        <a:xfrm>
          <a:off x="0" y="8166100"/>
          <a:ext cx="2921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37</xdr:row>
      <xdr:rowOff>0</xdr:rowOff>
    </xdr:from>
    <xdr:ext cx="292100" cy="177800"/>
    <xdr:sp macro="" textlink="">
      <xdr:nvSpPr>
        <xdr:cNvPr id="94" name="AutoShape 35" descr="Germany">
          <a:hlinkClick xmlns:r="http://schemas.openxmlformats.org/officeDocument/2006/relationships" r:id="rId19" tooltip="Germany"/>
          <a:extLst>
            <a:ext uri="{FF2B5EF4-FFF2-40B4-BE49-F238E27FC236}">
              <a16:creationId xmlns:a16="http://schemas.microsoft.com/office/drawing/2014/main" id="{EF825CBE-A93A-2E4C-9F15-7953B182E122}"/>
            </a:ext>
          </a:extLst>
        </xdr:cNvPr>
        <xdr:cNvSpPr>
          <a:spLocks noChangeAspect="1" noChangeArrowheads="1"/>
        </xdr:cNvSpPr>
      </xdr:nvSpPr>
      <xdr:spPr bwMode="auto">
        <a:xfrm>
          <a:off x="0" y="8394700"/>
          <a:ext cx="292100" cy="177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38</xdr:row>
      <xdr:rowOff>0</xdr:rowOff>
    </xdr:from>
    <xdr:ext cx="292100" cy="190500"/>
    <xdr:sp macro="" textlink="">
      <xdr:nvSpPr>
        <xdr:cNvPr id="95" name="AutoShape 36" descr="France">
          <a:hlinkClick xmlns:r="http://schemas.openxmlformats.org/officeDocument/2006/relationships" r:id="rId20" tooltip="France"/>
          <a:extLst>
            <a:ext uri="{FF2B5EF4-FFF2-40B4-BE49-F238E27FC236}">
              <a16:creationId xmlns:a16="http://schemas.microsoft.com/office/drawing/2014/main" id="{E1362AFA-EA9F-AA44-954C-699AE7694DDA}"/>
            </a:ext>
          </a:extLst>
        </xdr:cNvPr>
        <xdr:cNvSpPr>
          <a:spLocks noChangeAspect="1" noChangeArrowheads="1"/>
        </xdr:cNvSpPr>
      </xdr:nvSpPr>
      <xdr:spPr bwMode="auto">
        <a:xfrm>
          <a:off x="0" y="8623300"/>
          <a:ext cx="2921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39</xdr:row>
      <xdr:rowOff>0</xdr:rowOff>
    </xdr:from>
    <xdr:ext cx="292100" cy="152400"/>
    <xdr:sp macro="" textlink="">
      <xdr:nvSpPr>
        <xdr:cNvPr id="96" name="AutoShape 37" descr="United Kingdom">
          <a:hlinkClick xmlns:r="http://schemas.openxmlformats.org/officeDocument/2006/relationships" r:id="rId8" tooltip="United Kingdom"/>
          <a:extLst>
            <a:ext uri="{FF2B5EF4-FFF2-40B4-BE49-F238E27FC236}">
              <a16:creationId xmlns:a16="http://schemas.microsoft.com/office/drawing/2014/main" id="{8166165A-255E-DC44-88C4-4B908D414FF1}"/>
            </a:ext>
          </a:extLst>
        </xdr:cNvPr>
        <xdr:cNvSpPr>
          <a:spLocks noChangeAspect="1" noChangeArrowheads="1"/>
        </xdr:cNvSpPr>
      </xdr:nvSpPr>
      <xdr:spPr bwMode="auto">
        <a:xfrm>
          <a:off x="0" y="8851900"/>
          <a:ext cx="2921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40</xdr:row>
      <xdr:rowOff>0</xdr:rowOff>
    </xdr:from>
    <xdr:ext cx="292100" cy="152400"/>
    <xdr:sp macro="" textlink="">
      <xdr:nvSpPr>
        <xdr:cNvPr id="97" name="AutoShape 38" descr="New Zealand">
          <a:hlinkClick xmlns:r="http://schemas.openxmlformats.org/officeDocument/2006/relationships" r:id="rId21" tooltip="New Zealand"/>
          <a:extLst>
            <a:ext uri="{FF2B5EF4-FFF2-40B4-BE49-F238E27FC236}">
              <a16:creationId xmlns:a16="http://schemas.microsoft.com/office/drawing/2014/main" id="{7BC9E900-AF6B-234A-905B-51C4415B4829}"/>
            </a:ext>
          </a:extLst>
        </xdr:cNvPr>
        <xdr:cNvSpPr>
          <a:spLocks noChangeAspect="1" noChangeArrowheads="1"/>
        </xdr:cNvSpPr>
      </xdr:nvSpPr>
      <xdr:spPr bwMode="auto">
        <a:xfrm>
          <a:off x="0" y="9080500"/>
          <a:ext cx="2921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41</xdr:row>
      <xdr:rowOff>0</xdr:rowOff>
    </xdr:from>
    <xdr:ext cx="292100" cy="190500"/>
    <xdr:sp macro="" textlink="">
      <xdr:nvSpPr>
        <xdr:cNvPr id="98" name="AutoShape 39" descr="France">
          <a:hlinkClick xmlns:r="http://schemas.openxmlformats.org/officeDocument/2006/relationships" r:id="rId20" tooltip="France"/>
          <a:extLst>
            <a:ext uri="{FF2B5EF4-FFF2-40B4-BE49-F238E27FC236}">
              <a16:creationId xmlns:a16="http://schemas.microsoft.com/office/drawing/2014/main" id="{6A996979-BC64-774A-843E-A3C634285CBB}"/>
            </a:ext>
          </a:extLst>
        </xdr:cNvPr>
        <xdr:cNvSpPr>
          <a:spLocks noChangeAspect="1" noChangeArrowheads="1"/>
        </xdr:cNvSpPr>
      </xdr:nvSpPr>
      <xdr:spPr bwMode="auto">
        <a:xfrm>
          <a:off x="0" y="9309100"/>
          <a:ext cx="2921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42</xdr:row>
      <xdr:rowOff>0</xdr:rowOff>
    </xdr:from>
    <xdr:ext cx="292100" cy="152400"/>
    <xdr:sp macro="" textlink="">
      <xdr:nvSpPr>
        <xdr:cNvPr id="99" name="AutoShape 40" descr="Canada">
          <a:hlinkClick xmlns:r="http://schemas.openxmlformats.org/officeDocument/2006/relationships" r:id="rId6" tooltip="Canada"/>
          <a:extLst>
            <a:ext uri="{FF2B5EF4-FFF2-40B4-BE49-F238E27FC236}">
              <a16:creationId xmlns:a16="http://schemas.microsoft.com/office/drawing/2014/main" id="{84F450A6-2566-4243-A350-DEA9BFB242E0}"/>
            </a:ext>
          </a:extLst>
        </xdr:cNvPr>
        <xdr:cNvSpPr>
          <a:spLocks noChangeAspect="1" noChangeArrowheads="1"/>
        </xdr:cNvSpPr>
      </xdr:nvSpPr>
      <xdr:spPr bwMode="auto">
        <a:xfrm>
          <a:off x="0" y="9537700"/>
          <a:ext cx="2921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44</xdr:row>
      <xdr:rowOff>0</xdr:rowOff>
    </xdr:from>
    <xdr:ext cx="292100" cy="190500"/>
    <xdr:sp macro="" textlink="">
      <xdr:nvSpPr>
        <xdr:cNvPr id="101" name="AutoShape 42" descr="France">
          <a:hlinkClick xmlns:r="http://schemas.openxmlformats.org/officeDocument/2006/relationships" r:id="rId20" tooltip="France"/>
          <a:extLst>
            <a:ext uri="{FF2B5EF4-FFF2-40B4-BE49-F238E27FC236}">
              <a16:creationId xmlns:a16="http://schemas.microsoft.com/office/drawing/2014/main" id="{CBEFED96-0A74-FA4B-9B69-51715C3DBD3E}"/>
            </a:ext>
          </a:extLst>
        </xdr:cNvPr>
        <xdr:cNvSpPr>
          <a:spLocks noChangeAspect="1" noChangeArrowheads="1"/>
        </xdr:cNvSpPr>
      </xdr:nvSpPr>
      <xdr:spPr bwMode="auto">
        <a:xfrm>
          <a:off x="0" y="9994900"/>
          <a:ext cx="2921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45</xdr:row>
      <xdr:rowOff>0</xdr:rowOff>
    </xdr:from>
    <xdr:ext cx="279400" cy="190500"/>
    <xdr:sp macro="" textlink="">
      <xdr:nvSpPr>
        <xdr:cNvPr id="102" name="AutoShape 43" descr="Brazil">
          <a:hlinkClick xmlns:r="http://schemas.openxmlformats.org/officeDocument/2006/relationships" r:id="rId15" tooltip="Brazil"/>
          <a:extLst>
            <a:ext uri="{FF2B5EF4-FFF2-40B4-BE49-F238E27FC236}">
              <a16:creationId xmlns:a16="http://schemas.microsoft.com/office/drawing/2014/main" id="{E4B8ADF4-D82E-504A-A0A1-81036C2F3089}"/>
            </a:ext>
          </a:extLst>
        </xdr:cNvPr>
        <xdr:cNvSpPr>
          <a:spLocks noChangeAspect="1" noChangeArrowheads="1"/>
        </xdr:cNvSpPr>
      </xdr:nvSpPr>
      <xdr:spPr bwMode="auto">
        <a:xfrm>
          <a:off x="0" y="10223500"/>
          <a:ext cx="2794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46</xdr:row>
      <xdr:rowOff>0</xdr:rowOff>
    </xdr:from>
    <xdr:ext cx="292100" cy="177800"/>
    <xdr:sp macro="" textlink="">
      <xdr:nvSpPr>
        <xdr:cNvPr id="103" name="AutoShape 44" descr="Argentina">
          <a:hlinkClick xmlns:r="http://schemas.openxmlformats.org/officeDocument/2006/relationships" r:id="rId22" tooltip="Argentina"/>
          <a:extLst>
            <a:ext uri="{FF2B5EF4-FFF2-40B4-BE49-F238E27FC236}">
              <a16:creationId xmlns:a16="http://schemas.microsoft.com/office/drawing/2014/main" id="{C01EC9F8-829D-2046-88B1-0A9BB0676466}"/>
            </a:ext>
          </a:extLst>
        </xdr:cNvPr>
        <xdr:cNvSpPr>
          <a:spLocks noChangeAspect="1" noChangeArrowheads="1"/>
        </xdr:cNvSpPr>
      </xdr:nvSpPr>
      <xdr:spPr bwMode="auto">
        <a:xfrm>
          <a:off x="0" y="10452100"/>
          <a:ext cx="292100" cy="177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xdr:col>
      <xdr:colOff>0</xdr:colOff>
      <xdr:row>27</xdr:row>
      <xdr:rowOff>0</xdr:rowOff>
    </xdr:from>
    <xdr:ext cx="292100" cy="190500"/>
    <xdr:sp macro="" textlink="">
      <xdr:nvSpPr>
        <xdr:cNvPr id="105" name="AutoShape 5" descr="Saudi Arabia">
          <a:hlinkClick xmlns:r="http://schemas.openxmlformats.org/officeDocument/2006/relationships" r:id="rId1" tooltip="Saudi Arabia"/>
          <a:extLst>
            <a:ext uri="{FF2B5EF4-FFF2-40B4-BE49-F238E27FC236}">
              <a16:creationId xmlns:a16="http://schemas.microsoft.com/office/drawing/2014/main" id="{7D5869FB-4A36-1545-A61B-40F84FA70105}"/>
            </a:ext>
          </a:extLst>
        </xdr:cNvPr>
        <xdr:cNvSpPr>
          <a:spLocks noChangeAspect="1" noChangeArrowheads="1"/>
        </xdr:cNvSpPr>
      </xdr:nvSpPr>
      <xdr:spPr bwMode="auto">
        <a:xfrm>
          <a:off x="5486400" y="6096000"/>
          <a:ext cx="2921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27</xdr:row>
      <xdr:rowOff>0</xdr:rowOff>
    </xdr:from>
    <xdr:ext cx="292100" cy="152400"/>
    <xdr:sp macro="" textlink="">
      <xdr:nvSpPr>
        <xdr:cNvPr id="106" name="AutoShape 6" descr="United States">
          <a:hlinkClick xmlns:r="http://schemas.openxmlformats.org/officeDocument/2006/relationships" r:id="rId2" tooltip="United States"/>
          <a:extLst>
            <a:ext uri="{FF2B5EF4-FFF2-40B4-BE49-F238E27FC236}">
              <a16:creationId xmlns:a16="http://schemas.microsoft.com/office/drawing/2014/main" id="{1F871244-4119-9F4E-AEE6-5703681465E1}"/>
            </a:ext>
          </a:extLst>
        </xdr:cNvPr>
        <xdr:cNvSpPr>
          <a:spLocks noChangeAspect="1" noChangeArrowheads="1"/>
        </xdr:cNvSpPr>
      </xdr:nvSpPr>
      <xdr:spPr bwMode="auto">
        <a:xfrm>
          <a:off x="6311900" y="6096000"/>
          <a:ext cx="2921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27</xdr:row>
      <xdr:rowOff>0</xdr:rowOff>
    </xdr:from>
    <xdr:ext cx="292100" cy="190500"/>
    <xdr:sp macro="" textlink="">
      <xdr:nvSpPr>
        <xdr:cNvPr id="107" name="AutoShape 7" descr="Italy">
          <a:hlinkClick xmlns:r="http://schemas.openxmlformats.org/officeDocument/2006/relationships" r:id="rId3" tooltip="Italy"/>
          <a:extLst>
            <a:ext uri="{FF2B5EF4-FFF2-40B4-BE49-F238E27FC236}">
              <a16:creationId xmlns:a16="http://schemas.microsoft.com/office/drawing/2014/main" id="{047E7F10-004F-7C4D-B480-F78C49528951}"/>
            </a:ext>
          </a:extLst>
        </xdr:cNvPr>
        <xdr:cNvSpPr>
          <a:spLocks noChangeAspect="1" noChangeArrowheads="1"/>
        </xdr:cNvSpPr>
      </xdr:nvSpPr>
      <xdr:spPr bwMode="auto">
        <a:xfrm>
          <a:off x="7137400" y="6096000"/>
          <a:ext cx="2921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9</xdr:col>
      <xdr:colOff>0</xdr:colOff>
      <xdr:row>27</xdr:row>
      <xdr:rowOff>0</xdr:rowOff>
    </xdr:from>
    <xdr:ext cx="292100" cy="190500"/>
    <xdr:sp macro="" textlink="">
      <xdr:nvSpPr>
        <xdr:cNvPr id="108" name="AutoShape 9" descr="Spain">
          <a:hlinkClick xmlns:r="http://schemas.openxmlformats.org/officeDocument/2006/relationships" r:id="rId5" tooltip="Spain"/>
          <a:extLst>
            <a:ext uri="{FF2B5EF4-FFF2-40B4-BE49-F238E27FC236}">
              <a16:creationId xmlns:a16="http://schemas.microsoft.com/office/drawing/2014/main" id="{93541EC2-6F8F-1741-B814-7972300305BA}"/>
            </a:ext>
          </a:extLst>
        </xdr:cNvPr>
        <xdr:cNvSpPr>
          <a:spLocks noChangeAspect="1" noChangeArrowheads="1"/>
        </xdr:cNvSpPr>
      </xdr:nvSpPr>
      <xdr:spPr bwMode="auto">
        <a:xfrm>
          <a:off x="8788400" y="6096000"/>
          <a:ext cx="2921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10</xdr:col>
      <xdr:colOff>0</xdr:colOff>
      <xdr:row>27</xdr:row>
      <xdr:rowOff>0</xdr:rowOff>
    </xdr:from>
    <xdr:ext cx="292100" cy="152400"/>
    <xdr:sp macro="" textlink="">
      <xdr:nvSpPr>
        <xdr:cNvPr id="109" name="AutoShape 10" descr="Canada">
          <a:hlinkClick xmlns:r="http://schemas.openxmlformats.org/officeDocument/2006/relationships" r:id="rId6" tooltip="Canada"/>
          <a:extLst>
            <a:ext uri="{FF2B5EF4-FFF2-40B4-BE49-F238E27FC236}">
              <a16:creationId xmlns:a16="http://schemas.microsoft.com/office/drawing/2014/main" id="{10AA230C-751B-C64D-9F12-1D9739CB7658}"/>
            </a:ext>
          </a:extLst>
        </xdr:cNvPr>
        <xdr:cNvSpPr>
          <a:spLocks noChangeAspect="1" noChangeArrowheads="1"/>
        </xdr:cNvSpPr>
      </xdr:nvSpPr>
      <xdr:spPr bwMode="auto">
        <a:xfrm>
          <a:off x="9613900" y="6096000"/>
          <a:ext cx="2921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27</xdr:row>
      <xdr:rowOff>0</xdr:rowOff>
    </xdr:from>
    <xdr:ext cx="292100" cy="190500"/>
    <xdr:sp macro="" textlink="">
      <xdr:nvSpPr>
        <xdr:cNvPr id="110" name="AutoShape 11" descr="Austria">
          <a:hlinkClick xmlns:r="http://schemas.openxmlformats.org/officeDocument/2006/relationships" r:id="rId7" tooltip="Austria"/>
          <a:extLst>
            <a:ext uri="{FF2B5EF4-FFF2-40B4-BE49-F238E27FC236}">
              <a16:creationId xmlns:a16="http://schemas.microsoft.com/office/drawing/2014/main" id="{2F7FEBB2-24A4-CD4F-A347-02CCD71D173C}"/>
            </a:ext>
          </a:extLst>
        </xdr:cNvPr>
        <xdr:cNvSpPr>
          <a:spLocks noChangeAspect="1" noChangeArrowheads="1"/>
        </xdr:cNvSpPr>
      </xdr:nvSpPr>
      <xdr:spPr bwMode="auto">
        <a:xfrm>
          <a:off x="10439400" y="6096000"/>
          <a:ext cx="2921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27</xdr:row>
      <xdr:rowOff>0</xdr:rowOff>
    </xdr:from>
    <xdr:ext cx="292100" cy="152400"/>
    <xdr:sp macro="" textlink="">
      <xdr:nvSpPr>
        <xdr:cNvPr id="111" name="AutoShape 12" descr="United Kingdom">
          <a:hlinkClick xmlns:r="http://schemas.openxmlformats.org/officeDocument/2006/relationships" r:id="rId8" tooltip="United Kingdom"/>
          <a:extLst>
            <a:ext uri="{FF2B5EF4-FFF2-40B4-BE49-F238E27FC236}">
              <a16:creationId xmlns:a16="http://schemas.microsoft.com/office/drawing/2014/main" id="{7851D9DC-301D-0B4D-B5AD-65DFC025CEBA}"/>
            </a:ext>
          </a:extLst>
        </xdr:cNvPr>
        <xdr:cNvSpPr>
          <a:spLocks noChangeAspect="1" noChangeArrowheads="1"/>
        </xdr:cNvSpPr>
      </xdr:nvSpPr>
      <xdr:spPr bwMode="auto">
        <a:xfrm>
          <a:off x="11264900" y="6096000"/>
          <a:ext cx="2921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13</xdr:col>
      <xdr:colOff>0</xdr:colOff>
      <xdr:row>27</xdr:row>
      <xdr:rowOff>0</xdr:rowOff>
    </xdr:from>
    <xdr:ext cx="292100" cy="190500"/>
    <xdr:sp macro="" textlink="">
      <xdr:nvSpPr>
        <xdr:cNvPr id="112" name="AutoShape 13" descr="Belgium">
          <a:hlinkClick xmlns:r="http://schemas.openxmlformats.org/officeDocument/2006/relationships" r:id="rId9" tooltip="Belgium"/>
          <a:extLst>
            <a:ext uri="{FF2B5EF4-FFF2-40B4-BE49-F238E27FC236}">
              <a16:creationId xmlns:a16="http://schemas.microsoft.com/office/drawing/2014/main" id="{38E04C0D-3BEF-AA4D-B146-D796F4BF35AC}"/>
            </a:ext>
          </a:extLst>
        </xdr:cNvPr>
        <xdr:cNvSpPr>
          <a:spLocks noChangeAspect="1" noChangeArrowheads="1"/>
        </xdr:cNvSpPr>
      </xdr:nvSpPr>
      <xdr:spPr bwMode="auto">
        <a:xfrm>
          <a:off x="12090400" y="6096000"/>
          <a:ext cx="2921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14</xdr:col>
      <xdr:colOff>0</xdr:colOff>
      <xdr:row>27</xdr:row>
      <xdr:rowOff>0</xdr:rowOff>
    </xdr:from>
    <xdr:ext cx="292100" cy="152400"/>
    <xdr:sp macro="" textlink="">
      <xdr:nvSpPr>
        <xdr:cNvPr id="113" name="AutoShape 14" descr="Hungary">
          <a:hlinkClick xmlns:r="http://schemas.openxmlformats.org/officeDocument/2006/relationships" r:id="rId10" tooltip="Hungary"/>
          <a:extLst>
            <a:ext uri="{FF2B5EF4-FFF2-40B4-BE49-F238E27FC236}">
              <a16:creationId xmlns:a16="http://schemas.microsoft.com/office/drawing/2014/main" id="{1D4F495F-8D39-7141-BB53-016EE49E0BAF}"/>
            </a:ext>
          </a:extLst>
        </xdr:cNvPr>
        <xdr:cNvSpPr>
          <a:spLocks noChangeAspect="1" noChangeArrowheads="1"/>
        </xdr:cNvSpPr>
      </xdr:nvSpPr>
      <xdr:spPr bwMode="auto">
        <a:xfrm>
          <a:off x="12915900" y="6096000"/>
          <a:ext cx="2921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27</xdr:row>
      <xdr:rowOff>0</xdr:rowOff>
    </xdr:from>
    <xdr:ext cx="292100" cy="190500"/>
    <xdr:sp macro="" textlink="">
      <xdr:nvSpPr>
        <xdr:cNvPr id="114" name="AutoShape 15" descr="Netherlands">
          <a:hlinkClick xmlns:r="http://schemas.openxmlformats.org/officeDocument/2006/relationships" r:id="rId11" tooltip="Netherlands"/>
          <a:extLst>
            <a:ext uri="{FF2B5EF4-FFF2-40B4-BE49-F238E27FC236}">
              <a16:creationId xmlns:a16="http://schemas.microsoft.com/office/drawing/2014/main" id="{420D334B-CAF7-4D40-9B5B-7702B1D4C255}"/>
            </a:ext>
          </a:extLst>
        </xdr:cNvPr>
        <xdr:cNvSpPr>
          <a:spLocks noChangeAspect="1" noChangeArrowheads="1"/>
        </xdr:cNvSpPr>
      </xdr:nvSpPr>
      <xdr:spPr bwMode="auto">
        <a:xfrm>
          <a:off x="13741400" y="6096000"/>
          <a:ext cx="2921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16</xdr:col>
      <xdr:colOff>0</xdr:colOff>
      <xdr:row>27</xdr:row>
      <xdr:rowOff>0</xdr:rowOff>
    </xdr:from>
    <xdr:ext cx="292100" cy="190500"/>
    <xdr:sp macro="" textlink="">
      <xdr:nvSpPr>
        <xdr:cNvPr id="115" name="AutoShape 16" descr="Italy">
          <a:hlinkClick xmlns:r="http://schemas.openxmlformats.org/officeDocument/2006/relationships" r:id="rId3" tooltip="Italy"/>
          <a:extLst>
            <a:ext uri="{FF2B5EF4-FFF2-40B4-BE49-F238E27FC236}">
              <a16:creationId xmlns:a16="http://schemas.microsoft.com/office/drawing/2014/main" id="{99E8F287-0DFA-8D4C-AC17-7AE9E4003F63}"/>
            </a:ext>
          </a:extLst>
        </xdr:cNvPr>
        <xdr:cNvSpPr>
          <a:spLocks noChangeAspect="1" noChangeArrowheads="1"/>
        </xdr:cNvSpPr>
      </xdr:nvSpPr>
      <xdr:spPr bwMode="auto">
        <a:xfrm>
          <a:off x="14566900" y="6096000"/>
          <a:ext cx="2921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17</xdr:col>
      <xdr:colOff>0</xdr:colOff>
      <xdr:row>27</xdr:row>
      <xdr:rowOff>0</xdr:rowOff>
    </xdr:from>
    <xdr:ext cx="292100" cy="152400"/>
    <xdr:sp macro="" textlink="">
      <xdr:nvSpPr>
        <xdr:cNvPr id="116" name="AutoShape 17" descr="Azerbaijan">
          <a:hlinkClick xmlns:r="http://schemas.openxmlformats.org/officeDocument/2006/relationships" r:id="rId12" tooltip="Azerbaijan"/>
          <a:extLst>
            <a:ext uri="{FF2B5EF4-FFF2-40B4-BE49-F238E27FC236}">
              <a16:creationId xmlns:a16="http://schemas.microsoft.com/office/drawing/2014/main" id="{1D6EE4AE-BC32-EC4F-9962-39895C4D95A7}"/>
            </a:ext>
          </a:extLst>
        </xdr:cNvPr>
        <xdr:cNvSpPr>
          <a:spLocks noChangeAspect="1" noChangeArrowheads="1"/>
        </xdr:cNvSpPr>
      </xdr:nvSpPr>
      <xdr:spPr bwMode="auto">
        <a:xfrm>
          <a:off x="15392400" y="6096000"/>
          <a:ext cx="2921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18</xdr:col>
      <xdr:colOff>0</xdr:colOff>
      <xdr:row>27</xdr:row>
      <xdr:rowOff>0</xdr:rowOff>
    </xdr:from>
    <xdr:ext cx="292100" cy="190500"/>
    <xdr:sp macro="" textlink="">
      <xdr:nvSpPr>
        <xdr:cNvPr id="117" name="AutoShape 18" descr="Singapore">
          <a:hlinkClick xmlns:r="http://schemas.openxmlformats.org/officeDocument/2006/relationships" r:id="rId13" tooltip="Singapore"/>
          <a:extLst>
            <a:ext uri="{FF2B5EF4-FFF2-40B4-BE49-F238E27FC236}">
              <a16:creationId xmlns:a16="http://schemas.microsoft.com/office/drawing/2014/main" id="{7FDEEFE7-2BAF-6B49-BE84-6131145789AE}"/>
            </a:ext>
          </a:extLst>
        </xdr:cNvPr>
        <xdr:cNvSpPr>
          <a:spLocks noChangeAspect="1" noChangeArrowheads="1"/>
        </xdr:cNvSpPr>
      </xdr:nvSpPr>
      <xdr:spPr bwMode="auto">
        <a:xfrm>
          <a:off x="16217900" y="6096000"/>
          <a:ext cx="2921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19</xdr:col>
      <xdr:colOff>0</xdr:colOff>
      <xdr:row>27</xdr:row>
      <xdr:rowOff>0</xdr:rowOff>
    </xdr:from>
    <xdr:ext cx="292100" cy="152400"/>
    <xdr:sp macro="" textlink="">
      <xdr:nvSpPr>
        <xdr:cNvPr id="118" name="AutoShape 19" descr="United States">
          <a:hlinkClick xmlns:r="http://schemas.openxmlformats.org/officeDocument/2006/relationships" r:id="rId2" tooltip="United States"/>
          <a:extLst>
            <a:ext uri="{FF2B5EF4-FFF2-40B4-BE49-F238E27FC236}">
              <a16:creationId xmlns:a16="http://schemas.microsoft.com/office/drawing/2014/main" id="{7D88244F-3757-0D4A-A06A-AC3FB63D5FA9}"/>
            </a:ext>
          </a:extLst>
        </xdr:cNvPr>
        <xdr:cNvSpPr>
          <a:spLocks noChangeAspect="1" noChangeArrowheads="1"/>
        </xdr:cNvSpPr>
      </xdr:nvSpPr>
      <xdr:spPr bwMode="auto">
        <a:xfrm>
          <a:off x="17043400" y="6096000"/>
          <a:ext cx="2921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20</xdr:col>
      <xdr:colOff>0</xdr:colOff>
      <xdr:row>27</xdr:row>
      <xdr:rowOff>0</xdr:rowOff>
    </xdr:from>
    <xdr:ext cx="292100" cy="165100"/>
    <xdr:sp macro="" textlink="">
      <xdr:nvSpPr>
        <xdr:cNvPr id="119" name="AutoShape 20" descr="Mexico">
          <a:hlinkClick xmlns:r="http://schemas.openxmlformats.org/officeDocument/2006/relationships" r:id="rId14" tooltip="Mexico"/>
          <a:extLst>
            <a:ext uri="{FF2B5EF4-FFF2-40B4-BE49-F238E27FC236}">
              <a16:creationId xmlns:a16="http://schemas.microsoft.com/office/drawing/2014/main" id="{FED782E4-3C16-944A-AF00-1D4AC4163D1F}"/>
            </a:ext>
          </a:extLst>
        </xdr:cNvPr>
        <xdr:cNvSpPr>
          <a:spLocks noChangeAspect="1" noChangeArrowheads="1"/>
        </xdr:cNvSpPr>
      </xdr:nvSpPr>
      <xdr:spPr bwMode="auto">
        <a:xfrm>
          <a:off x="17907000" y="6096000"/>
          <a:ext cx="292100" cy="165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21</xdr:col>
      <xdr:colOff>0</xdr:colOff>
      <xdr:row>27</xdr:row>
      <xdr:rowOff>0</xdr:rowOff>
    </xdr:from>
    <xdr:ext cx="279400" cy="190500"/>
    <xdr:sp macro="" textlink="">
      <xdr:nvSpPr>
        <xdr:cNvPr id="120" name="AutoShape 21" descr="Brazil">
          <a:hlinkClick xmlns:r="http://schemas.openxmlformats.org/officeDocument/2006/relationships" r:id="rId15" tooltip="Brazil"/>
          <a:extLst>
            <a:ext uri="{FF2B5EF4-FFF2-40B4-BE49-F238E27FC236}">
              <a16:creationId xmlns:a16="http://schemas.microsoft.com/office/drawing/2014/main" id="{235D0BE6-3251-304E-8734-E4BC5DBA9BFB}"/>
            </a:ext>
          </a:extLst>
        </xdr:cNvPr>
        <xdr:cNvSpPr>
          <a:spLocks noChangeAspect="1" noChangeArrowheads="1"/>
        </xdr:cNvSpPr>
      </xdr:nvSpPr>
      <xdr:spPr bwMode="auto">
        <a:xfrm>
          <a:off x="18732500" y="6096000"/>
          <a:ext cx="2794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22</xdr:col>
      <xdr:colOff>0</xdr:colOff>
      <xdr:row>27</xdr:row>
      <xdr:rowOff>0</xdr:rowOff>
    </xdr:from>
    <xdr:ext cx="292100" cy="152400"/>
    <xdr:sp macro="" textlink="">
      <xdr:nvSpPr>
        <xdr:cNvPr id="121" name="AutoShape 22" descr="United States">
          <a:hlinkClick xmlns:r="http://schemas.openxmlformats.org/officeDocument/2006/relationships" r:id="rId2" tooltip="United States"/>
          <a:extLst>
            <a:ext uri="{FF2B5EF4-FFF2-40B4-BE49-F238E27FC236}">
              <a16:creationId xmlns:a16="http://schemas.microsoft.com/office/drawing/2014/main" id="{8F7DE065-50DC-C140-B313-D79612B47A1B}"/>
            </a:ext>
          </a:extLst>
        </xdr:cNvPr>
        <xdr:cNvSpPr>
          <a:spLocks noChangeAspect="1" noChangeArrowheads="1"/>
        </xdr:cNvSpPr>
      </xdr:nvSpPr>
      <xdr:spPr bwMode="auto">
        <a:xfrm>
          <a:off x="19558000" y="6096000"/>
          <a:ext cx="2921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23</xdr:col>
      <xdr:colOff>0</xdr:colOff>
      <xdr:row>27</xdr:row>
      <xdr:rowOff>0</xdr:rowOff>
    </xdr:from>
    <xdr:ext cx="292100" cy="114300"/>
    <xdr:sp macro="" textlink="">
      <xdr:nvSpPr>
        <xdr:cNvPr id="122" name="AutoShape 23" descr="Qatar">
          <a:hlinkClick xmlns:r="http://schemas.openxmlformats.org/officeDocument/2006/relationships" r:id="rId16" tooltip="Qatar"/>
          <a:extLst>
            <a:ext uri="{FF2B5EF4-FFF2-40B4-BE49-F238E27FC236}">
              <a16:creationId xmlns:a16="http://schemas.microsoft.com/office/drawing/2014/main" id="{68DB58FA-C017-354D-8D06-28A6B395236C}"/>
            </a:ext>
          </a:extLst>
        </xdr:cNvPr>
        <xdr:cNvSpPr>
          <a:spLocks noChangeAspect="1" noChangeArrowheads="1"/>
        </xdr:cNvSpPr>
      </xdr:nvSpPr>
      <xdr:spPr bwMode="auto">
        <a:xfrm>
          <a:off x="20383500" y="6096000"/>
          <a:ext cx="292100" cy="1143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24</xdr:col>
      <xdr:colOff>0</xdr:colOff>
      <xdr:row>27</xdr:row>
      <xdr:rowOff>0</xdr:rowOff>
    </xdr:from>
    <xdr:ext cx="292100" cy="152400"/>
    <xdr:sp macro="" textlink="">
      <xdr:nvSpPr>
        <xdr:cNvPr id="123" name="AutoShape 24" descr="United Arab Emirates">
          <a:hlinkClick xmlns:r="http://schemas.openxmlformats.org/officeDocument/2006/relationships" r:id="rId17" tooltip="United Arab Emirates"/>
          <a:extLst>
            <a:ext uri="{FF2B5EF4-FFF2-40B4-BE49-F238E27FC236}">
              <a16:creationId xmlns:a16="http://schemas.microsoft.com/office/drawing/2014/main" id="{8F8C0187-F958-6F49-B703-8EDBE7CAF6A0}"/>
            </a:ext>
          </a:extLst>
        </xdr:cNvPr>
        <xdr:cNvSpPr>
          <a:spLocks noChangeAspect="1" noChangeArrowheads="1"/>
        </xdr:cNvSpPr>
      </xdr:nvSpPr>
      <xdr:spPr bwMode="auto">
        <a:xfrm>
          <a:off x="21209000" y="6096000"/>
          <a:ext cx="2921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59</xdr:row>
      <xdr:rowOff>0</xdr:rowOff>
    </xdr:from>
    <xdr:ext cx="292100" cy="152400"/>
    <xdr:sp macro="" textlink="">
      <xdr:nvSpPr>
        <xdr:cNvPr id="124" name="AutoShape 25" descr="United Kingdom">
          <a:hlinkClick xmlns:r="http://schemas.openxmlformats.org/officeDocument/2006/relationships" r:id="rId8" tooltip="United Kingdom"/>
          <a:extLst>
            <a:ext uri="{FF2B5EF4-FFF2-40B4-BE49-F238E27FC236}">
              <a16:creationId xmlns:a16="http://schemas.microsoft.com/office/drawing/2014/main" id="{741CCF8D-93EF-AB44-84E4-EAC0416B35F6}"/>
            </a:ext>
          </a:extLst>
        </xdr:cNvPr>
        <xdr:cNvSpPr>
          <a:spLocks noChangeAspect="1" noChangeArrowheads="1"/>
        </xdr:cNvSpPr>
      </xdr:nvSpPr>
      <xdr:spPr bwMode="auto">
        <a:xfrm>
          <a:off x="0" y="13233400"/>
          <a:ext cx="2921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60</xdr:row>
      <xdr:rowOff>0</xdr:rowOff>
    </xdr:from>
    <xdr:ext cx="292100" cy="190500"/>
    <xdr:sp macro="" textlink="">
      <xdr:nvSpPr>
        <xdr:cNvPr id="125" name="AutoShape 26" descr="Netherlands">
          <a:hlinkClick xmlns:r="http://schemas.openxmlformats.org/officeDocument/2006/relationships" r:id="rId11" tooltip="Netherlands"/>
          <a:extLst>
            <a:ext uri="{FF2B5EF4-FFF2-40B4-BE49-F238E27FC236}">
              <a16:creationId xmlns:a16="http://schemas.microsoft.com/office/drawing/2014/main" id="{1E998204-BAAB-6C4F-A1C5-D1DBD42224FA}"/>
            </a:ext>
          </a:extLst>
        </xdr:cNvPr>
        <xdr:cNvSpPr>
          <a:spLocks noChangeAspect="1" noChangeArrowheads="1"/>
        </xdr:cNvSpPr>
      </xdr:nvSpPr>
      <xdr:spPr bwMode="auto">
        <a:xfrm>
          <a:off x="0" y="13436600"/>
          <a:ext cx="2921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61</xdr:row>
      <xdr:rowOff>0</xdr:rowOff>
    </xdr:from>
    <xdr:ext cx="292100" cy="152400"/>
    <xdr:pic>
      <xdr:nvPicPr>
        <xdr:cNvPr id="126" name="Picture 125" descr="Australia">
          <a:hlinkClick xmlns:r="http://schemas.openxmlformats.org/officeDocument/2006/relationships" r:id="rId23" tooltip="Australia"/>
          <a:extLst>
            <a:ext uri="{FF2B5EF4-FFF2-40B4-BE49-F238E27FC236}">
              <a16:creationId xmlns:a16="http://schemas.microsoft.com/office/drawing/2014/main" id="{9114F655-98E3-5B47-AD42-4FAE04039ADC}"/>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0" y="13665200"/>
          <a:ext cx="292100" cy="1524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62</xdr:row>
      <xdr:rowOff>0</xdr:rowOff>
    </xdr:from>
    <xdr:ext cx="292100" cy="152400"/>
    <xdr:sp macro="" textlink="">
      <xdr:nvSpPr>
        <xdr:cNvPr id="127" name="AutoShape 28" descr="United Kingdom">
          <a:hlinkClick xmlns:r="http://schemas.openxmlformats.org/officeDocument/2006/relationships" r:id="rId8" tooltip="United Kingdom"/>
          <a:extLst>
            <a:ext uri="{FF2B5EF4-FFF2-40B4-BE49-F238E27FC236}">
              <a16:creationId xmlns:a16="http://schemas.microsoft.com/office/drawing/2014/main" id="{C094B0C9-041F-084D-8C1E-A927418C1437}"/>
            </a:ext>
          </a:extLst>
        </xdr:cNvPr>
        <xdr:cNvSpPr>
          <a:spLocks noChangeAspect="1" noChangeArrowheads="1"/>
        </xdr:cNvSpPr>
      </xdr:nvSpPr>
      <xdr:spPr bwMode="auto">
        <a:xfrm>
          <a:off x="0" y="13893800"/>
          <a:ext cx="2921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63</xdr:row>
      <xdr:rowOff>0</xdr:rowOff>
    </xdr:from>
    <xdr:ext cx="241300" cy="190500"/>
    <xdr:sp macro="" textlink="">
      <xdr:nvSpPr>
        <xdr:cNvPr id="128" name="AutoShape 29" descr="Monaco">
          <a:hlinkClick xmlns:r="http://schemas.openxmlformats.org/officeDocument/2006/relationships" r:id="rId4" tooltip="Monaco"/>
          <a:extLst>
            <a:ext uri="{FF2B5EF4-FFF2-40B4-BE49-F238E27FC236}">
              <a16:creationId xmlns:a16="http://schemas.microsoft.com/office/drawing/2014/main" id="{29EA21DA-BAD7-494D-860F-51C0507E185D}"/>
            </a:ext>
          </a:extLst>
        </xdr:cNvPr>
        <xdr:cNvSpPr>
          <a:spLocks noChangeAspect="1" noChangeArrowheads="1"/>
        </xdr:cNvSpPr>
      </xdr:nvSpPr>
      <xdr:spPr bwMode="auto">
        <a:xfrm>
          <a:off x="0" y="14122400"/>
          <a:ext cx="2413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64</xdr:row>
      <xdr:rowOff>0</xdr:rowOff>
    </xdr:from>
    <xdr:ext cx="292100" cy="152400"/>
    <xdr:sp macro="" textlink="">
      <xdr:nvSpPr>
        <xdr:cNvPr id="129" name="AutoShape 30" descr="United Kingdom">
          <a:hlinkClick xmlns:r="http://schemas.openxmlformats.org/officeDocument/2006/relationships" r:id="rId8" tooltip="United Kingdom"/>
          <a:extLst>
            <a:ext uri="{FF2B5EF4-FFF2-40B4-BE49-F238E27FC236}">
              <a16:creationId xmlns:a16="http://schemas.microsoft.com/office/drawing/2014/main" id="{107DFA80-67DE-C245-822A-18810DCA4C5C}"/>
            </a:ext>
          </a:extLst>
        </xdr:cNvPr>
        <xdr:cNvSpPr>
          <a:spLocks noChangeAspect="1" noChangeArrowheads="1"/>
        </xdr:cNvSpPr>
      </xdr:nvSpPr>
      <xdr:spPr bwMode="auto">
        <a:xfrm>
          <a:off x="0" y="14351000"/>
          <a:ext cx="2921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65</xdr:row>
      <xdr:rowOff>0</xdr:rowOff>
    </xdr:from>
    <xdr:ext cx="292100" cy="190500"/>
    <xdr:sp macro="" textlink="">
      <xdr:nvSpPr>
        <xdr:cNvPr id="130" name="AutoShape 31" descr="Italy">
          <a:hlinkClick xmlns:r="http://schemas.openxmlformats.org/officeDocument/2006/relationships" r:id="rId3" tooltip="Italy"/>
          <a:extLst>
            <a:ext uri="{FF2B5EF4-FFF2-40B4-BE49-F238E27FC236}">
              <a16:creationId xmlns:a16="http://schemas.microsoft.com/office/drawing/2014/main" id="{CC4DF270-A920-F94F-A383-D93F0775D285}"/>
            </a:ext>
          </a:extLst>
        </xdr:cNvPr>
        <xdr:cNvSpPr>
          <a:spLocks noChangeAspect="1" noChangeArrowheads="1"/>
        </xdr:cNvSpPr>
      </xdr:nvSpPr>
      <xdr:spPr bwMode="auto">
        <a:xfrm>
          <a:off x="0" y="14579600"/>
          <a:ext cx="2921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66</xdr:row>
      <xdr:rowOff>0</xdr:rowOff>
    </xdr:from>
    <xdr:ext cx="292100" cy="190500"/>
    <xdr:sp macro="" textlink="">
      <xdr:nvSpPr>
        <xdr:cNvPr id="131" name="AutoShape 32" descr="Thailand">
          <a:hlinkClick xmlns:r="http://schemas.openxmlformats.org/officeDocument/2006/relationships" r:id="rId18" tooltip="Thailand"/>
          <a:extLst>
            <a:ext uri="{FF2B5EF4-FFF2-40B4-BE49-F238E27FC236}">
              <a16:creationId xmlns:a16="http://schemas.microsoft.com/office/drawing/2014/main" id="{0DFAE258-22DD-A541-A4D8-ADB859253B27}"/>
            </a:ext>
          </a:extLst>
        </xdr:cNvPr>
        <xdr:cNvSpPr>
          <a:spLocks noChangeAspect="1" noChangeArrowheads="1"/>
        </xdr:cNvSpPr>
      </xdr:nvSpPr>
      <xdr:spPr bwMode="auto">
        <a:xfrm>
          <a:off x="0" y="14808200"/>
          <a:ext cx="2921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67</xdr:row>
      <xdr:rowOff>0</xdr:rowOff>
    </xdr:from>
    <xdr:ext cx="292100" cy="190500"/>
    <xdr:sp macro="" textlink="">
      <xdr:nvSpPr>
        <xdr:cNvPr id="132" name="AutoShape 33" descr="Spain">
          <a:hlinkClick xmlns:r="http://schemas.openxmlformats.org/officeDocument/2006/relationships" r:id="rId5" tooltip="Spain"/>
          <a:extLst>
            <a:ext uri="{FF2B5EF4-FFF2-40B4-BE49-F238E27FC236}">
              <a16:creationId xmlns:a16="http://schemas.microsoft.com/office/drawing/2014/main" id="{1DD242FE-6D0C-6246-B1DE-0F833A3EFE32}"/>
            </a:ext>
          </a:extLst>
        </xdr:cNvPr>
        <xdr:cNvSpPr>
          <a:spLocks noChangeAspect="1" noChangeArrowheads="1"/>
        </xdr:cNvSpPr>
      </xdr:nvSpPr>
      <xdr:spPr bwMode="auto">
        <a:xfrm>
          <a:off x="0" y="15036800"/>
          <a:ext cx="2921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68</xdr:row>
      <xdr:rowOff>0</xdr:rowOff>
    </xdr:from>
    <xdr:ext cx="292100" cy="190500"/>
    <xdr:sp macro="" textlink="">
      <xdr:nvSpPr>
        <xdr:cNvPr id="133" name="AutoShape 34" descr="Spain">
          <a:hlinkClick xmlns:r="http://schemas.openxmlformats.org/officeDocument/2006/relationships" r:id="rId5" tooltip="Spain"/>
          <a:extLst>
            <a:ext uri="{FF2B5EF4-FFF2-40B4-BE49-F238E27FC236}">
              <a16:creationId xmlns:a16="http://schemas.microsoft.com/office/drawing/2014/main" id="{68CB2BC7-D707-CA42-8256-8D305D66F072}"/>
            </a:ext>
          </a:extLst>
        </xdr:cNvPr>
        <xdr:cNvSpPr>
          <a:spLocks noChangeAspect="1" noChangeArrowheads="1"/>
        </xdr:cNvSpPr>
      </xdr:nvSpPr>
      <xdr:spPr bwMode="auto">
        <a:xfrm>
          <a:off x="0" y="15265400"/>
          <a:ext cx="2921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69</xdr:row>
      <xdr:rowOff>0</xdr:rowOff>
    </xdr:from>
    <xdr:ext cx="292100" cy="177800"/>
    <xdr:sp macro="" textlink="">
      <xdr:nvSpPr>
        <xdr:cNvPr id="134" name="AutoShape 35" descr="Germany">
          <a:hlinkClick xmlns:r="http://schemas.openxmlformats.org/officeDocument/2006/relationships" r:id="rId19" tooltip="Germany"/>
          <a:extLst>
            <a:ext uri="{FF2B5EF4-FFF2-40B4-BE49-F238E27FC236}">
              <a16:creationId xmlns:a16="http://schemas.microsoft.com/office/drawing/2014/main" id="{F7DEEEC6-8D65-2E48-885A-9E04ED4B9E19}"/>
            </a:ext>
          </a:extLst>
        </xdr:cNvPr>
        <xdr:cNvSpPr>
          <a:spLocks noChangeAspect="1" noChangeArrowheads="1"/>
        </xdr:cNvSpPr>
      </xdr:nvSpPr>
      <xdr:spPr bwMode="auto">
        <a:xfrm>
          <a:off x="0" y="15494000"/>
          <a:ext cx="292100" cy="177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70</xdr:row>
      <xdr:rowOff>0</xdr:rowOff>
    </xdr:from>
    <xdr:ext cx="292100" cy="190500"/>
    <xdr:sp macro="" textlink="">
      <xdr:nvSpPr>
        <xdr:cNvPr id="135" name="AutoShape 36" descr="France">
          <a:hlinkClick xmlns:r="http://schemas.openxmlformats.org/officeDocument/2006/relationships" r:id="rId20" tooltip="France"/>
          <a:extLst>
            <a:ext uri="{FF2B5EF4-FFF2-40B4-BE49-F238E27FC236}">
              <a16:creationId xmlns:a16="http://schemas.microsoft.com/office/drawing/2014/main" id="{A8CC0064-CAF4-0646-9A39-3EA3F9F9C0E6}"/>
            </a:ext>
          </a:extLst>
        </xdr:cNvPr>
        <xdr:cNvSpPr>
          <a:spLocks noChangeAspect="1" noChangeArrowheads="1"/>
        </xdr:cNvSpPr>
      </xdr:nvSpPr>
      <xdr:spPr bwMode="auto">
        <a:xfrm>
          <a:off x="0" y="15722600"/>
          <a:ext cx="2921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71</xdr:row>
      <xdr:rowOff>0</xdr:rowOff>
    </xdr:from>
    <xdr:ext cx="292100" cy="152400"/>
    <xdr:sp macro="" textlink="">
      <xdr:nvSpPr>
        <xdr:cNvPr id="136" name="AutoShape 37" descr="United Kingdom">
          <a:hlinkClick xmlns:r="http://schemas.openxmlformats.org/officeDocument/2006/relationships" r:id="rId8" tooltip="United Kingdom"/>
          <a:extLst>
            <a:ext uri="{FF2B5EF4-FFF2-40B4-BE49-F238E27FC236}">
              <a16:creationId xmlns:a16="http://schemas.microsoft.com/office/drawing/2014/main" id="{628DACF9-604B-E242-86B4-585B9D09CBF9}"/>
            </a:ext>
          </a:extLst>
        </xdr:cNvPr>
        <xdr:cNvSpPr>
          <a:spLocks noChangeAspect="1" noChangeArrowheads="1"/>
        </xdr:cNvSpPr>
      </xdr:nvSpPr>
      <xdr:spPr bwMode="auto">
        <a:xfrm>
          <a:off x="0" y="15951200"/>
          <a:ext cx="2921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72</xdr:row>
      <xdr:rowOff>0</xdr:rowOff>
    </xdr:from>
    <xdr:ext cx="292100" cy="152400"/>
    <xdr:sp macro="" textlink="">
      <xdr:nvSpPr>
        <xdr:cNvPr id="137" name="AutoShape 38" descr="New Zealand">
          <a:hlinkClick xmlns:r="http://schemas.openxmlformats.org/officeDocument/2006/relationships" r:id="rId21" tooltip="New Zealand"/>
          <a:extLst>
            <a:ext uri="{FF2B5EF4-FFF2-40B4-BE49-F238E27FC236}">
              <a16:creationId xmlns:a16="http://schemas.microsoft.com/office/drawing/2014/main" id="{9959D91F-E3E5-DE40-9C40-4BCE914DE4A1}"/>
            </a:ext>
          </a:extLst>
        </xdr:cNvPr>
        <xdr:cNvSpPr>
          <a:spLocks noChangeAspect="1" noChangeArrowheads="1"/>
        </xdr:cNvSpPr>
      </xdr:nvSpPr>
      <xdr:spPr bwMode="auto">
        <a:xfrm>
          <a:off x="0" y="16179800"/>
          <a:ext cx="2921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73</xdr:row>
      <xdr:rowOff>0</xdr:rowOff>
    </xdr:from>
    <xdr:ext cx="292100" cy="190500"/>
    <xdr:sp macro="" textlink="">
      <xdr:nvSpPr>
        <xdr:cNvPr id="138" name="AutoShape 39" descr="France">
          <a:hlinkClick xmlns:r="http://schemas.openxmlformats.org/officeDocument/2006/relationships" r:id="rId20" tooltip="France"/>
          <a:extLst>
            <a:ext uri="{FF2B5EF4-FFF2-40B4-BE49-F238E27FC236}">
              <a16:creationId xmlns:a16="http://schemas.microsoft.com/office/drawing/2014/main" id="{FA8159A5-9AA4-664F-8A6B-25EC7E09175E}"/>
            </a:ext>
          </a:extLst>
        </xdr:cNvPr>
        <xdr:cNvSpPr>
          <a:spLocks noChangeAspect="1" noChangeArrowheads="1"/>
        </xdr:cNvSpPr>
      </xdr:nvSpPr>
      <xdr:spPr bwMode="auto">
        <a:xfrm>
          <a:off x="0" y="16408400"/>
          <a:ext cx="2921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74</xdr:row>
      <xdr:rowOff>0</xdr:rowOff>
    </xdr:from>
    <xdr:ext cx="292100" cy="152400"/>
    <xdr:sp macro="" textlink="">
      <xdr:nvSpPr>
        <xdr:cNvPr id="139" name="AutoShape 40" descr="Canada">
          <a:hlinkClick xmlns:r="http://schemas.openxmlformats.org/officeDocument/2006/relationships" r:id="rId6" tooltip="Canada"/>
          <a:extLst>
            <a:ext uri="{FF2B5EF4-FFF2-40B4-BE49-F238E27FC236}">
              <a16:creationId xmlns:a16="http://schemas.microsoft.com/office/drawing/2014/main" id="{270324C8-5DE2-AD4F-9102-C46B7E0E0FBC}"/>
            </a:ext>
          </a:extLst>
        </xdr:cNvPr>
        <xdr:cNvSpPr>
          <a:spLocks noChangeAspect="1" noChangeArrowheads="1"/>
        </xdr:cNvSpPr>
      </xdr:nvSpPr>
      <xdr:spPr bwMode="auto">
        <a:xfrm>
          <a:off x="0" y="16637000"/>
          <a:ext cx="2921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75</xdr:row>
      <xdr:rowOff>0</xdr:rowOff>
    </xdr:from>
    <xdr:ext cx="292100" cy="190500"/>
    <xdr:pic>
      <xdr:nvPicPr>
        <xdr:cNvPr id="140" name="Picture 139" descr="Japan">
          <a:hlinkClick xmlns:r="http://schemas.openxmlformats.org/officeDocument/2006/relationships" r:id="rId25" tooltip="Japan"/>
          <a:extLst>
            <a:ext uri="{FF2B5EF4-FFF2-40B4-BE49-F238E27FC236}">
              <a16:creationId xmlns:a16="http://schemas.microsoft.com/office/drawing/2014/main" id="{D2C52606-D0B0-914D-9785-594B8A6607BE}"/>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0" y="16865600"/>
          <a:ext cx="292100" cy="1905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76</xdr:row>
      <xdr:rowOff>0</xdr:rowOff>
    </xdr:from>
    <xdr:ext cx="292100" cy="190500"/>
    <xdr:sp macro="" textlink="">
      <xdr:nvSpPr>
        <xdr:cNvPr id="141" name="AutoShape 42" descr="France">
          <a:hlinkClick xmlns:r="http://schemas.openxmlformats.org/officeDocument/2006/relationships" r:id="rId20" tooltip="France"/>
          <a:extLst>
            <a:ext uri="{FF2B5EF4-FFF2-40B4-BE49-F238E27FC236}">
              <a16:creationId xmlns:a16="http://schemas.microsoft.com/office/drawing/2014/main" id="{5F997D0E-2504-5A49-856B-8995909AB250}"/>
            </a:ext>
          </a:extLst>
        </xdr:cNvPr>
        <xdr:cNvSpPr>
          <a:spLocks noChangeAspect="1" noChangeArrowheads="1"/>
        </xdr:cNvSpPr>
      </xdr:nvSpPr>
      <xdr:spPr bwMode="auto">
        <a:xfrm>
          <a:off x="0" y="17094200"/>
          <a:ext cx="2921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xdr:row>
      <xdr:rowOff>0</xdr:rowOff>
    </xdr:from>
    <xdr:ext cx="279400" cy="190500"/>
    <xdr:sp macro="" textlink="">
      <xdr:nvSpPr>
        <xdr:cNvPr id="142" name="AutoShape 43" descr="Brazil">
          <a:hlinkClick xmlns:r="http://schemas.openxmlformats.org/officeDocument/2006/relationships" r:id="rId15" tooltip="Brazil"/>
          <a:extLst>
            <a:ext uri="{FF2B5EF4-FFF2-40B4-BE49-F238E27FC236}">
              <a16:creationId xmlns:a16="http://schemas.microsoft.com/office/drawing/2014/main" id="{6D97F0A6-53F8-C04A-9633-A3F342A859ED}"/>
            </a:ext>
          </a:extLst>
        </xdr:cNvPr>
        <xdr:cNvSpPr>
          <a:spLocks noChangeAspect="1" noChangeArrowheads="1"/>
        </xdr:cNvSpPr>
      </xdr:nvSpPr>
      <xdr:spPr bwMode="auto">
        <a:xfrm>
          <a:off x="0" y="17322800"/>
          <a:ext cx="2794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78</xdr:row>
      <xdr:rowOff>0</xdr:rowOff>
    </xdr:from>
    <xdr:ext cx="292100" cy="177800"/>
    <xdr:sp macro="" textlink="">
      <xdr:nvSpPr>
        <xdr:cNvPr id="143" name="AutoShape 44" descr="Argentina">
          <a:hlinkClick xmlns:r="http://schemas.openxmlformats.org/officeDocument/2006/relationships" r:id="rId22" tooltip="Argentina"/>
          <a:extLst>
            <a:ext uri="{FF2B5EF4-FFF2-40B4-BE49-F238E27FC236}">
              <a16:creationId xmlns:a16="http://schemas.microsoft.com/office/drawing/2014/main" id="{53EEB3D2-7A66-0044-BF34-9230F85EE580}"/>
            </a:ext>
          </a:extLst>
        </xdr:cNvPr>
        <xdr:cNvSpPr>
          <a:spLocks noChangeAspect="1" noChangeArrowheads="1"/>
        </xdr:cNvSpPr>
      </xdr:nvSpPr>
      <xdr:spPr bwMode="auto">
        <a:xfrm>
          <a:off x="0" y="17551400"/>
          <a:ext cx="292100" cy="177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79</xdr:row>
      <xdr:rowOff>0</xdr:rowOff>
    </xdr:from>
    <xdr:ext cx="292100" cy="152400"/>
    <xdr:pic>
      <xdr:nvPicPr>
        <xdr:cNvPr id="144" name="Picture 143" descr="Australia">
          <a:hlinkClick xmlns:r="http://schemas.openxmlformats.org/officeDocument/2006/relationships" r:id="rId23" tooltip="Australia"/>
          <a:extLst>
            <a:ext uri="{FF2B5EF4-FFF2-40B4-BE49-F238E27FC236}">
              <a16:creationId xmlns:a16="http://schemas.microsoft.com/office/drawing/2014/main" id="{441875DA-6B0A-9B4F-9CF6-02C219B750C9}"/>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0" y="17780000"/>
          <a:ext cx="292100" cy="1524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xdr:col>
      <xdr:colOff>0</xdr:colOff>
      <xdr:row>59</xdr:row>
      <xdr:rowOff>0</xdr:rowOff>
    </xdr:from>
    <xdr:ext cx="292100" cy="190500"/>
    <xdr:sp macro="" textlink="">
      <xdr:nvSpPr>
        <xdr:cNvPr id="145" name="AutoShape 5" descr="Saudi Arabia">
          <a:hlinkClick xmlns:r="http://schemas.openxmlformats.org/officeDocument/2006/relationships" r:id="rId1" tooltip="Saudi Arabia"/>
          <a:extLst>
            <a:ext uri="{FF2B5EF4-FFF2-40B4-BE49-F238E27FC236}">
              <a16:creationId xmlns:a16="http://schemas.microsoft.com/office/drawing/2014/main" id="{523A880D-0439-024B-9422-CCC35CC04FEE}"/>
            </a:ext>
          </a:extLst>
        </xdr:cNvPr>
        <xdr:cNvSpPr>
          <a:spLocks noChangeAspect="1" noChangeArrowheads="1"/>
        </xdr:cNvSpPr>
      </xdr:nvSpPr>
      <xdr:spPr bwMode="auto">
        <a:xfrm>
          <a:off x="5486400" y="13233400"/>
          <a:ext cx="2921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59</xdr:row>
      <xdr:rowOff>0</xdr:rowOff>
    </xdr:from>
    <xdr:ext cx="292100" cy="152400"/>
    <xdr:sp macro="" textlink="">
      <xdr:nvSpPr>
        <xdr:cNvPr id="146" name="AutoShape 6" descr="United States">
          <a:hlinkClick xmlns:r="http://schemas.openxmlformats.org/officeDocument/2006/relationships" r:id="rId2" tooltip="United States"/>
          <a:extLst>
            <a:ext uri="{FF2B5EF4-FFF2-40B4-BE49-F238E27FC236}">
              <a16:creationId xmlns:a16="http://schemas.microsoft.com/office/drawing/2014/main" id="{3742622C-B5B0-3B44-81E6-D0F96E374824}"/>
            </a:ext>
          </a:extLst>
        </xdr:cNvPr>
        <xdr:cNvSpPr>
          <a:spLocks noChangeAspect="1" noChangeArrowheads="1"/>
        </xdr:cNvSpPr>
      </xdr:nvSpPr>
      <xdr:spPr bwMode="auto">
        <a:xfrm>
          <a:off x="6311900" y="13233400"/>
          <a:ext cx="2921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59</xdr:row>
      <xdr:rowOff>0</xdr:rowOff>
    </xdr:from>
    <xdr:ext cx="292100" cy="190500"/>
    <xdr:sp macro="" textlink="">
      <xdr:nvSpPr>
        <xdr:cNvPr id="147" name="AutoShape 7" descr="Italy">
          <a:hlinkClick xmlns:r="http://schemas.openxmlformats.org/officeDocument/2006/relationships" r:id="rId3" tooltip="Italy"/>
          <a:extLst>
            <a:ext uri="{FF2B5EF4-FFF2-40B4-BE49-F238E27FC236}">
              <a16:creationId xmlns:a16="http://schemas.microsoft.com/office/drawing/2014/main" id="{F0548826-F215-E947-81F9-2C4929385969}"/>
            </a:ext>
          </a:extLst>
        </xdr:cNvPr>
        <xdr:cNvSpPr>
          <a:spLocks noChangeAspect="1" noChangeArrowheads="1"/>
        </xdr:cNvSpPr>
      </xdr:nvSpPr>
      <xdr:spPr bwMode="auto">
        <a:xfrm>
          <a:off x="7137400" y="13233400"/>
          <a:ext cx="2921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59</xdr:row>
      <xdr:rowOff>0</xdr:rowOff>
    </xdr:from>
    <xdr:ext cx="241300" cy="190500"/>
    <xdr:sp macro="" textlink="">
      <xdr:nvSpPr>
        <xdr:cNvPr id="148" name="AutoShape 8" descr="Monaco">
          <a:hlinkClick xmlns:r="http://schemas.openxmlformats.org/officeDocument/2006/relationships" r:id="rId4" tooltip="Monaco"/>
          <a:extLst>
            <a:ext uri="{FF2B5EF4-FFF2-40B4-BE49-F238E27FC236}">
              <a16:creationId xmlns:a16="http://schemas.microsoft.com/office/drawing/2014/main" id="{CB9AFF8F-8729-6448-9A49-D166DF0DA09F}"/>
            </a:ext>
          </a:extLst>
        </xdr:cNvPr>
        <xdr:cNvSpPr>
          <a:spLocks noChangeAspect="1" noChangeArrowheads="1"/>
        </xdr:cNvSpPr>
      </xdr:nvSpPr>
      <xdr:spPr bwMode="auto">
        <a:xfrm>
          <a:off x="7962900" y="13233400"/>
          <a:ext cx="2413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9</xdr:col>
      <xdr:colOff>0</xdr:colOff>
      <xdr:row>59</xdr:row>
      <xdr:rowOff>0</xdr:rowOff>
    </xdr:from>
    <xdr:ext cx="292100" cy="190500"/>
    <xdr:sp macro="" textlink="">
      <xdr:nvSpPr>
        <xdr:cNvPr id="149" name="AutoShape 9" descr="Spain">
          <a:hlinkClick xmlns:r="http://schemas.openxmlformats.org/officeDocument/2006/relationships" r:id="rId5" tooltip="Spain"/>
          <a:extLst>
            <a:ext uri="{FF2B5EF4-FFF2-40B4-BE49-F238E27FC236}">
              <a16:creationId xmlns:a16="http://schemas.microsoft.com/office/drawing/2014/main" id="{CEE022E3-2510-0840-AAC2-15AA4B865A55}"/>
            </a:ext>
          </a:extLst>
        </xdr:cNvPr>
        <xdr:cNvSpPr>
          <a:spLocks noChangeAspect="1" noChangeArrowheads="1"/>
        </xdr:cNvSpPr>
      </xdr:nvSpPr>
      <xdr:spPr bwMode="auto">
        <a:xfrm>
          <a:off x="8788400" y="13233400"/>
          <a:ext cx="2921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10</xdr:col>
      <xdr:colOff>0</xdr:colOff>
      <xdr:row>59</xdr:row>
      <xdr:rowOff>0</xdr:rowOff>
    </xdr:from>
    <xdr:ext cx="292100" cy="152400"/>
    <xdr:sp macro="" textlink="">
      <xdr:nvSpPr>
        <xdr:cNvPr id="150" name="AutoShape 10" descr="Canada">
          <a:hlinkClick xmlns:r="http://schemas.openxmlformats.org/officeDocument/2006/relationships" r:id="rId6" tooltip="Canada"/>
          <a:extLst>
            <a:ext uri="{FF2B5EF4-FFF2-40B4-BE49-F238E27FC236}">
              <a16:creationId xmlns:a16="http://schemas.microsoft.com/office/drawing/2014/main" id="{C2AEC617-E938-5847-A94A-264C53E24D9C}"/>
            </a:ext>
          </a:extLst>
        </xdr:cNvPr>
        <xdr:cNvSpPr>
          <a:spLocks noChangeAspect="1" noChangeArrowheads="1"/>
        </xdr:cNvSpPr>
      </xdr:nvSpPr>
      <xdr:spPr bwMode="auto">
        <a:xfrm>
          <a:off x="9613900" y="13233400"/>
          <a:ext cx="2921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59</xdr:row>
      <xdr:rowOff>0</xdr:rowOff>
    </xdr:from>
    <xdr:ext cx="292100" cy="190500"/>
    <xdr:sp macro="" textlink="">
      <xdr:nvSpPr>
        <xdr:cNvPr id="151" name="AutoShape 11" descr="Austria">
          <a:hlinkClick xmlns:r="http://schemas.openxmlformats.org/officeDocument/2006/relationships" r:id="rId7" tooltip="Austria"/>
          <a:extLst>
            <a:ext uri="{FF2B5EF4-FFF2-40B4-BE49-F238E27FC236}">
              <a16:creationId xmlns:a16="http://schemas.microsoft.com/office/drawing/2014/main" id="{0174C8DE-4F13-6640-BE78-AAC32E18E08A}"/>
            </a:ext>
          </a:extLst>
        </xdr:cNvPr>
        <xdr:cNvSpPr>
          <a:spLocks noChangeAspect="1" noChangeArrowheads="1"/>
        </xdr:cNvSpPr>
      </xdr:nvSpPr>
      <xdr:spPr bwMode="auto">
        <a:xfrm>
          <a:off x="10439400" y="13233400"/>
          <a:ext cx="2921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59</xdr:row>
      <xdr:rowOff>0</xdr:rowOff>
    </xdr:from>
    <xdr:ext cx="292100" cy="152400"/>
    <xdr:sp macro="" textlink="">
      <xdr:nvSpPr>
        <xdr:cNvPr id="152" name="AutoShape 12" descr="United Kingdom">
          <a:hlinkClick xmlns:r="http://schemas.openxmlformats.org/officeDocument/2006/relationships" r:id="rId8" tooltip="United Kingdom"/>
          <a:extLst>
            <a:ext uri="{FF2B5EF4-FFF2-40B4-BE49-F238E27FC236}">
              <a16:creationId xmlns:a16="http://schemas.microsoft.com/office/drawing/2014/main" id="{D1EFA5E1-EEDD-3648-85A6-B7563B1E477E}"/>
            </a:ext>
          </a:extLst>
        </xdr:cNvPr>
        <xdr:cNvSpPr>
          <a:spLocks noChangeAspect="1" noChangeArrowheads="1"/>
        </xdr:cNvSpPr>
      </xdr:nvSpPr>
      <xdr:spPr bwMode="auto">
        <a:xfrm>
          <a:off x="11264900" y="13233400"/>
          <a:ext cx="2921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13</xdr:col>
      <xdr:colOff>0</xdr:colOff>
      <xdr:row>59</xdr:row>
      <xdr:rowOff>0</xdr:rowOff>
    </xdr:from>
    <xdr:ext cx="292100" cy="190500"/>
    <xdr:sp macro="" textlink="">
      <xdr:nvSpPr>
        <xdr:cNvPr id="153" name="AutoShape 13" descr="Belgium">
          <a:hlinkClick xmlns:r="http://schemas.openxmlformats.org/officeDocument/2006/relationships" r:id="rId9" tooltip="Belgium"/>
          <a:extLst>
            <a:ext uri="{FF2B5EF4-FFF2-40B4-BE49-F238E27FC236}">
              <a16:creationId xmlns:a16="http://schemas.microsoft.com/office/drawing/2014/main" id="{2DE3CAB8-250F-7B46-9ECB-5509F3A55BF6}"/>
            </a:ext>
          </a:extLst>
        </xdr:cNvPr>
        <xdr:cNvSpPr>
          <a:spLocks noChangeAspect="1" noChangeArrowheads="1"/>
        </xdr:cNvSpPr>
      </xdr:nvSpPr>
      <xdr:spPr bwMode="auto">
        <a:xfrm>
          <a:off x="12090400" y="13233400"/>
          <a:ext cx="2921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14</xdr:col>
      <xdr:colOff>0</xdr:colOff>
      <xdr:row>59</xdr:row>
      <xdr:rowOff>0</xdr:rowOff>
    </xdr:from>
    <xdr:ext cx="292100" cy="152400"/>
    <xdr:sp macro="" textlink="">
      <xdr:nvSpPr>
        <xdr:cNvPr id="154" name="AutoShape 14" descr="Hungary">
          <a:hlinkClick xmlns:r="http://schemas.openxmlformats.org/officeDocument/2006/relationships" r:id="rId10" tooltip="Hungary"/>
          <a:extLst>
            <a:ext uri="{FF2B5EF4-FFF2-40B4-BE49-F238E27FC236}">
              <a16:creationId xmlns:a16="http://schemas.microsoft.com/office/drawing/2014/main" id="{FB6003FA-8E2D-1B4D-A2BA-2225D1F9695C}"/>
            </a:ext>
          </a:extLst>
        </xdr:cNvPr>
        <xdr:cNvSpPr>
          <a:spLocks noChangeAspect="1" noChangeArrowheads="1"/>
        </xdr:cNvSpPr>
      </xdr:nvSpPr>
      <xdr:spPr bwMode="auto">
        <a:xfrm>
          <a:off x="12915900" y="13233400"/>
          <a:ext cx="2921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59</xdr:row>
      <xdr:rowOff>0</xdr:rowOff>
    </xdr:from>
    <xdr:ext cx="292100" cy="190500"/>
    <xdr:sp macro="" textlink="">
      <xdr:nvSpPr>
        <xdr:cNvPr id="155" name="AutoShape 15" descr="Netherlands">
          <a:hlinkClick xmlns:r="http://schemas.openxmlformats.org/officeDocument/2006/relationships" r:id="rId11" tooltip="Netherlands"/>
          <a:extLst>
            <a:ext uri="{FF2B5EF4-FFF2-40B4-BE49-F238E27FC236}">
              <a16:creationId xmlns:a16="http://schemas.microsoft.com/office/drawing/2014/main" id="{08821405-C2ED-F540-B19C-477966302307}"/>
            </a:ext>
          </a:extLst>
        </xdr:cNvPr>
        <xdr:cNvSpPr>
          <a:spLocks noChangeAspect="1" noChangeArrowheads="1"/>
        </xdr:cNvSpPr>
      </xdr:nvSpPr>
      <xdr:spPr bwMode="auto">
        <a:xfrm>
          <a:off x="13741400" y="13233400"/>
          <a:ext cx="2921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16</xdr:col>
      <xdr:colOff>0</xdr:colOff>
      <xdr:row>59</xdr:row>
      <xdr:rowOff>0</xdr:rowOff>
    </xdr:from>
    <xdr:ext cx="292100" cy="190500"/>
    <xdr:sp macro="" textlink="">
      <xdr:nvSpPr>
        <xdr:cNvPr id="156" name="AutoShape 16" descr="Italy">
          <a:hlinkClick xmlns:r="http://schemas.openxmlformats.org/officeDocument/2006/relationships" r:id="rId3" tooltip="Italy"/>
          <a:extLst>
            <a:ext uri="{FF2B5EF4-FFF2-40B4-BE49-F238E27FC236}">
              <a16:creationId xmlns:a16="http://schemas.microsoft.com/office/drawing/2014/main" id="{375FF005-8FF4-D740-B47E-E8E41AC3507D}"/>
            </a:ext>
          </a:extLst>
        </xdr:cNvPr>
        <xdr:cNvSpPr>
          <a:spLocks noChangeAspect="1" noChangeArrowheads="1"/>
        </xdr:cNvSpPr>
      </xdr:nvSpPr>
      <xdr:spPr bwMode="auto">
        <a:xfrm>
          <a:off x="14566900" y="13233400"/>
          <a:ext cx="2921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17</xdr:col>
      <xdr:colOff>0</xdr:colOff>
      <xdr:row>59</xdr:row>
      <xdr:rowOff>0</xdr:rowOff>
    </xdr:from>
    <xdr:ext cx="292100" cy="152400"/>
    <xdr:sp macro="" textlink="">
      <xdr:nvSpPr>
        <xdr:cNvPr id="157" name="AutoShape 17" descr="Azerbaijan">
          <a:hlinkClick xmlns:r="http://schemas.openxmlformats.org/officeDocument/2006/relationships" r:id="rId12" tooltip="Azerbaijan"/>
          <a:extLst>
            <a:ext uri="{FF2B5EF4-FFF2-40B4-BE49-F238E27FC236}">
              <a16:creationId xmlns:a16="http://schemas.microsoft.com/office/drawing/2014/main" id="{44088062-10EF-1547-9F42-91E3E0E74CD2}"/>
            </a:ext>
          </a:extLst>
        </xdr:cNvPr>
        <xdr:cNvSpPr>
          <a:spLocks noChangeAspect="1" noChangeArrowheads="1"/>
        </xdr:cNvSpPr>
      </xdr:nvSpPr>
      <xdr:spPr bwMode="auto">
        <a:xfrm>
          <a:off x="15392400" y="13233400"/>
          <a:ext cx="2921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18</xdr:col>
      <xdr:colOff>0</xdr:colOff>
      <xdr:row>59</xdr:row>
      <xdr:rowOff>0</xdr:rowOff>
    </xdr:from>
    <xdr:ext cx="292100" cy="190500"/>
    <xdr:sp macro="" textlink="">
      <xdr:nvSpPr>
        <xdr:cNvPr id="158" name="AutoShape 18" descr="Singapore">
          <a:hlinkClick xmlns:r="http://schemas.openxmlformats.org/officeDocument/2006/relationships" r:id="rId13" tooltip="Singapore"/>
          <a:extLst>
            <a:ext uri="{FF2B5EF4-FFF2-40B4-BE49-F238E27FC236}">
              <a16:creationId xmlns:a16="http://schemas.microsoft.com/office/drawing/2014/main" id="{8C13542B-05F8-874A-8C3C-45DC4AA29439}"/>
            </a:ext>
          </a:extLst>
        </xdr:cNvPr>
        <xdr:cNvSpPr>
          <a:spLocks noChangeAspect="1" noChangeArrowheads="1"/>
        </xdr:cNvSpPr>
      </xdr:nvSpPr>
      <xdr:spPr bwMode="auto">
        <a:xfrm>
          <a:off x="16217900" y="13233400"/>
          <a:ext cx="2921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19</xdr:col>
      <xdr:colOff>0</xdr:colOff>
      <xdr:row>59</xdr:row>
      <xdr:rowOff>0</xdr:rowOff>
    </xdr:from>
    <xdr:ext cx="292100" cy="152400"/>
    <xdr:sp macro="" textlink="">
      <xdr:nvSpPr>
        <xdr:cNvPr id="159" name="AutoShape 19" descr="United States">
          <a:hlinkClick xmlns:r="http://schemas.openxmlformats.org/officeDocument/2006/relationships" r:id="rId2" tooltip="United States"/>
          <a:extLst>
            <a:ext uri="{FF2B5EF4-FFF2-40B4-BE49-F238E27FC236}">
              <a16:creationId xmlns:a16="http://schemas.microsoft.com/office/drawing/2014/main" id="{B2BD204F-D372-1C4F-BB46-9636DC6933D7}"/>
            </a:ext>
          </a:extLst>
        </xdr:cNvPr>
        <xdr:cNvSpPr>
          <a:spLocks noChangeAspect="1" noChangeArrowheads="1"/>
        </xdr:cNvSpPr>
      </xdr:nvSpPr>
      <xdr:spPr bwMode="auto">
        <a:xfrm>
          <a:off x="17043400" y="13233400"/>
          <a:ext cx="2921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20</xdr:col>
      <xdr:colOff>0</xdr:colOff>
      <xdr:row>59</xdr:row>
      <xdr:rowOff>0</xdr:rowOff>
    </xdr:from>
    <xdr:ext cx="292100" cy="165100"/>
    <xdr:sp macro="" textlink="">
      <xdr:nvSpPr>
        <xdr:cNvPr id="160" name="AutoShape 20" descr="Mexico">
          <a:hlinkClick xmlns:r="http://schemas.openxmlformats.org/officeDocument/2006/relationships" r:id="rId14" tooltip="Mexico"/>
          <a:extLst>
            <a:ext uri="{FF2B5EF4-FFF2-40B4-BE49-F238E27FC236}">
              <a16:creationId xmlns:a16="http://schemas.microsoft.com/office/drawing/2014/main" id="{6398439D-0FB1-9944-87AF-8E2B677C7759}"/>
            </a:ext>
          </a:extLst>
        </xdr:cNvPr>
        <xdr:cNvSpPr>
          <a:spLocks noChangeAspect="1" noChangeArrowheads="1"/>
        </xdr:cNvSpPr>
      </xdr:nvSpPr>
      <xdr:spPr bwMode="auto">
        <a:xfrm>
          <a:off x="17907000" y="13233400"/>
          <a:ext cx="292100" cy="165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21</xdr:col>
      <xdr:colOff>0</xdr:colOff>
      <xdr:row>59</xdr:row>
      <xdr:rowOff>0</xdr:rowOff>
    </xdr:from>
    <xdr:ext cx="279400" cy="190500"/>
    <xdr:sp macro="" textlink="">
      <xdr:nvSpPr>
        <xdr:cNvPr id="161" name="AutoShape 21" descr="Brazil">
          <a:hlinkClick xmlns:r="http://schemas.openxmlformats.org/officeDocument/2006/relationships" r:id="rId15" tooltip="Brazil"/>
          <a:extLst>
            <a:ext uri="{FF2B5EF4-FFF2-40B4-BE49-F238E27FC236}">
              <a16:creationId xmlns:a16="http://schemas.microsoft.com/office/drawing/2014/main" id="{44D1444D-1C7D-1A41-A1CA-3651475BEC32}"/>
            </a:ext>
          </a:extLst>
        </xdr:cNvPr>
        <xdr:cNvSpPr>
          <a:spLocks noChangeAspect="1" noChangeArrowheads="1"/>
        </xdr:cNvSpPr>
      </xdr:nvSpPr>
      <xdr:spPr bwMode="auto">
        <a:xfrm>
          <a:off x="18732500" y="13233400"/>
          <a:ext cx="2794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22</xdr:col>
      <xdr:colOff>0</xdr:colOff>
      <xdr:row>59</xdr:row>
      <xdr:rowOff>0</xdr:rowOff>
    </xdr:from>
    <xdr:ext cx="292100" cy="152400"/>
    <xdr:sp macro="" textlink="">
      <xdr:nvSpPr>
        <xdr:cNvPr id="162" name="AutoShape 22" descr="United States">
          <a:hlinkClick xmlns:r="http://schemas.openxmlformats.org/officeDocument/2006/relationships" r:id="rId2" tooltip="United States"/>
          <a:extLst>
            <a:ext uri="{FF2B5EF4-FFF2-40B4-BE49-F238E27FC236}">
              <a16:creationId xmlns:a16="http://schemas.microsoft.com/office/drawing/2014/main" id="{AF94483C-5248-7D47-83C9-799682133A1D}"/>
            </a:ext>
          </a:extLst>
        </xdr:cNvPr>
        <xdr:cNvSpPr>
          <a:spLocks noChangeAspect="1" noChangeArrowheads="1"/>
        </xdr:cNvSpPr>
      </xdr:nvSpPr>
      <xdr:spPr bwMode="auto">
        <a:xfrm>
          <a:off x="19558000" y="13233400"/>
          <a:ext cx="2921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23</xdr:col>
      <xdr:colOff>0</xdr:colOff>
      <xdr:row>59</xdr:row>
      <xdr:rowOff>0</xdr:rowOff>
    </xdr:from>
    <xdr:ext cx="292100" cy="114300"/>
    <xdr:sp macro="" textlink="">
      <xdr:nvSpPr>
        <xdr:cNvPr id="163" name="AutoShape 23" descr="Qatar">
          <a:hlinkClick xmlns:r="http://schemas.openxmlformats.org/officeDocument/2006/relationships" r:id="rId16" tooltip="Qatar"/>
          <a:extLst>
            <a:ext uri="{FF2B5EF4-FFF2-40B4-BE49-F238E27FC236}">
              <a16:creationId xmlns:a16="http://schemas.microsoft.com/office/drawing/2014/main" id="{55C712EC-ECB2-7449-AAE1-C42876D724DA}"/>
            </a:ext>
          </a:extLst>
        </xdr:cNvPr>
        <xdr:cNvSpPr>
          <a:spLocks noChangeAspect="1" noChangeArrowheads="1"/>
        </xdr:cNvSpPr>
      </xdr:nvSpPr>
      <xdr:spPr bwMode="auto">
        <a:xfrm>
          <a:off x="20383500" y="13233400"/>
          <a:ext cx="292100" cy="1143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xdr:col>
      <xdr:colOff>0</xdr:colOff>
      <xdr:row>28</xdr:row>
      <xdr:rowOff>0</xdr:rowOff>
    </xdr:from>
    <xdr:ext cx="292100" cy="190500"/>
    <xdr:sp macro="" textlink="">
      <xdr:nvSpPr>
        <xdr:cNvPr id="164" name="AutoShape 5" descr="Saudi Arabia">
          <a:hlinkClick xmlns:r="http://schemas.openxmlformats.org/officeDocument/2006/relationships" r:id="rId1" tooltip="Saudi Arabia"/>
          <a:extLst>
            <a:ext uri="{FF2B5EF4-FFF2-40B4-BE49-F238E27FC236}">
              <a16:creationId xmlns:a16="http://schemas.microsoft.com/office/drawing/2014/main" id="{94DB319A-5056-5641-8947-221007DA4BC9}"/>
            </a:ext>
          </a:extLst>
        </xdr:cNvPr>
        <xdr:cNvSpPr>
          <a:spLocks noChangeAspect="1" noChangeArrowheads="1"/>
        </xdr:cNvSpPr>
      </xdr:nvSpPr>
      <xdr:spPr bwMode="auto">
        <a:xfrm>
          <a:off x="5486400" y="6324600"/>
          <a:ext cx="2921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xdr:col>
      <xdr:colOff>0</xdr:colOff>
      <xdr:row>29</xdr:row>
      <xdr:rowOff>0</xdr:rowOff>
    </xdr:from>
    <xdr:ext cx="292100" cy="190500"/>
    <xdr:sp macro="" textlink="">
      <xdr:nvSpPr>
        <xdr:cNvPr id="165" name="AutoShape 5" descr="Saudi Arabia">
          <a:hlinkClick xmlns:r="http://schemas.openxmlformats.org/officeDocument/2006/relationships" r:id="rId1" tooltip="Saudi Arabia"/>
          <a:extLst>
            <a:ext uri="{FF2B5EF4-FFF2-40B4-BE49-F238E27FC236}">
              <a16:creationId xmlns:a16="http://schemas.microsoft.com/office/drawing/2014/main" id="{2056925F-ABA5-0743-BB48-3576FEFEE510}"/>
            </a:ext>
          </a:extLst>
        </xdr:cNvPr>
        <xdr:cNvSpPr>
          <a:spLocks noChangeAspect="1" noChangeArrowheads="1"/>
        </xdr:cNvSpPr>
      </xdr:nvSpPr>
      <xdr:spPr bwMode="auto">
        <a:xfrm>
          <a:off x="5486400" y="6553200"/>
          <a:ext cx="2921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xdr:col>
      <xdr:colOff>0</xdr:colOff>
      <xdr:row>30</xdr:row>
      <xdr:rowOff>0</xdr:rowOff>
    </xdr:from>
    <xdr:ext cx="292100" cy="190500"/>
    <xdr:sp macro="" textlink="">
      <xdr:nvSpPr>
        <xdr:cNvPr id="166" name="AutoShape 5" descr="Saudi Arabia">
          <a:hlinkClick xmlns:r="http://schemas.openxmlformats.org/officeDocument/2006/relationships" r:id="rId1" tooltip="Saudi Arabia"/>
          <a:extLst>
            <a:ext uri="{FF2B5EF4-FFF2-40B4-BE49-F238E27FC236}">
              <a16:creationId xmlns:a16="http://schemas.microsoft.com/office/drawing/2014/main" id="{87DD8E47-6F7E-B041-94F2-D835574E635E}"/>
            </a:ext>
          </a:extLst>
        </xdr:cNvPr>
        <xdr:cNvSpPr>
          <a:spLocks noChangeAspect="1" noChangeArrowheads="1"/>
        </xdr:cNvSpPr>
      </xdr:nvSpPr>
      <xdr:spPr bwMode="auto">
        <a:xfrm>
          <a:off x="5486400" y="6781800"/>
          <a:ext cx="2921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xdr:col>
      <xdr:colOff>0</xdr:colOff>
      <xdr:row>31</xdr:row>
      <xdr:rowOff>0</xdr:rowOff>
    </xdr:from>
    <xdr:ext cx="292100" cy="190500"/>
    <xdr:sp macro="" textlink="">
      <xdr:nvSpPr>
        <xdr:cNvPr id="167" name="AutoShape 5" descr="Saudi Arabia">
          <a:hlinkClick xmlns:r="http://schemas.openxmlformats.org/officeDocument/2006/relationships" r:id="rId1" tooltip="Saudi Arabia"/>
          <a:extLst>
            <a:ext uri="{FF2B5EF4-FFF2-40B4-BE49-F238E27FC236}">
              <a16:creationId xmlns:a16="http://schemas.microsoft.com/office/drawing/2014/main" id="{731F7D5D-4AFE-B840-BAB2-638BD22E8A40}"/>
            </a:ext>
          </a:extLst>
        </xdr:cNvPr>
        <xdr:cNvSpPr>
          <a:spLocks noChangeAspect="1" noChangeArrowheads="1"/>
        </xdr:cNvSpPr>
      </xdr:nvSpPr>
      <xdr:spPr bwMode="auto">
        <a:xfrm>
          <a:off x="5486400" y="7010400"/>
          <a:ext cx="2921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xdr:col>
      <xdr:colOff>0</xdr:colOff>
      <xdr:row>32</xdr:row>
      <xdr:rowOff>0</xdr:rowOff>
    </xdr:from>
    <xdr:ext cx="292100" cy="190500"/>
    <xdr:sp macro="" textlink="">
      <xdr:nvSpPr>
        <xdr:cNvPr id="168" name="AutoShape 5" descr="Saudi Arabia">
          <a:hlinkClick xmlns:r="http://schemas.openxmlformats.org/officeDocument/2006/relationships" r:id="rId1" tooltip="Saudi Arabia"/>
          <a:extLst>
            <a:ext uri="{FF2B5EF4-FFF2-40B4-BE49-F238E27FC236}">
              <a16:creationId xmlns:a16="http://schemas.microsoft.com/office/drawing/2014/main" id="{6867B395-416E-3443-BD70-13EE7DD2ACE2}"/>
            </a:ext>
          </a:extLst>
        </xdr:cNvPr>
        <xdr:cNvSpPr>
          <a:spLocks noChangeAspect="1" noChangeArrowheads="1"/>
        </xdr:cNvSpPr>
      </xdr:nvSpPr>
      <xdr:spPr bwMode="auto">
        <a:xfrm>
          <a:off x="5486400" y="7239000"/>
          <a:ext cx="2921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xdr:col>
      <xdr:colOff>0</xdr:colOff>
      <xdr:row>33</xdr:row>
      <xdr:rowOff>0</xdr:rowOff>
    </xdr:from>
    <xdr:ext cx="292100" cy="190500"/>
    <xdr:sp macro="" textlink="">
      <xdr:nvSpPr>
        <xdr:cNvPr id="169" name="AutoShape 5" descr="Saudi Arabia">
          <a:hlinkClick xmlns:r="http://schemas.openxmlformats.org/officeDocument/2006/relationships" r:id="rId1" tooltip="Saudi Arabia"/>
          <a:extLst>
            <a:ext uri="{FF2B5EF4-FFF2-40B4-BE49-F238E27FC236}">
              <a16:creationId xmlns:a16="http://schemas.microsoft.com/office/drawing/2014/main" id="{42633C34-E9D6-B142-8E97-8CE5281C01D2}"/>
            </a:ext>
          </a:extLst>
        </xdr:cNvPr>
        <xdr:cNvSpPr>
          <a:spLocks noChangeAspect="1" noChangeArrowheads="1"/>
        </xdr:cNvSpPr>
      </xdr:nvSpPr>
      <xdr:spPr bwMode="auto">
        <a:xfrm>
          <a:off x="5486400" y="7480300"/>
          <a:ext cx="2921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xdr:col>
      <xdr:colOff>0</xdr:colOff>
      <xdr:row>34</xdr:row>
      <xdr:rowOff>0</xdr:rowOff>
    </xdr:from>
    <xdr:ext cx="292100" cy="190500"/>
    <xdr:sp macro="" textlink="">
      <xdr:nvSpPr>
        <xdr:cNvPr id="170" name="AutoShape 5" descr="Saudi Arabia">
          <a:hlinkClick xmlns:r="http://schemas.openxmlformats.org/officeDocument/2006/relationships" r:id="rId1" tooltip="Saudi Arabia"/>
          <a:extLst>
            <a:ext uri="{FF2B5EF4-FFF2-40B4-BE49-F238E27FC236}">
              <a16:creationId xmlns:a16="http://schemas.microsoft.com/office/drawing/2014/main" id="{9C838798-439F-2E42-A0CF-AE34729A29A2}"/>
            </a:ext>
          </a:extLst>
        </xdr:cNvPr>
        <xdr:cNvSpPr>
          <a:spLocks noChangeAspect="1" noChangeArrowheads="1"/>
        </xdr:cNvSpPr>
      </xdr:nvSpPr>
      <xdr:spPr bwMode="auto">
        <a:xfrm>
          <a:off x="5486400" y="7708900"/>
          <a:ext cx="2921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xdr:col>
      <xdr:colOff>0</xdr:colOff>
      <xdr:row>35</xdr:row>
      <xdr:rowOff>0</xdr:rowOff>
    </xdr:from>
    <xdr:ext cx="292100" cy="190500"/>
    <xdr:sp macro="" textlink="">
      <xdr:nvSpPr>
        <xdr:cNvPr id="171" name="AutoShape 5" descr="Saudi Arabia">
          <a:hlinkClick xmlns:r="http://schemas.openxmlformats.org/officeDocument/2006/relationships" r:id="rId1" tooltip="Saudi Arabia"/>
          <a:extLst>
            <a:ext uri="{FF2B5EF4-FFF2-40B4-BE49-F238E27FC236}">
              <a16:creationId xmlns:a16="http://schemas.microsoft.com/office/drawing/2014/main" id="{F2F9C93C-6980-3648-AB80-3487757667D7}"/>
            </a:ext>
          </a:extLst>
        </xdr:cNvPr>
        <xdr:cNvSpPr>
          <a:spLocks noChangeAspect="1" noChangeArrowheads="1"/>
        </xdr:cNvSpPr>
      </xdr:nvSpPr>
      <xdr:spPr bwMode="auto">
        <a:xfrm>
          <a:off x="5486400" y="7937500"/>
          <a:ext cx="2921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xdr:col>
      <xdr:colOff>0</xdr:colOff>
      <xdr:row>36</xdr:row>
      <xdr:rowOff>0</xdr:rowOff>
    </xdr:from>
    <xdr:ext cx="292100" cy="190500"/>
    <xdr:sp macro="" textlink="">
      <xdr:nvSpPr>
        <xdr:cNvPr id="172" name="AutoShape 5" descr="Saudi Arabia">
          <a:hlinkClick xmlns:r="http://schemas.openxmlformats.org/officeDocument/2006/relationships" r:id="rId1" tooltip="Saudi Arabia"/>
          <a:extLst>
            <a:ext uri="{FF2B5EF4-FFF2-40B4-BE49-F238E27FC236}">
              <a16:creationId xmlns:a16="http://schemas.microsoft.com/office/drawing/2014/main" id="{713A8FEE-5273-6F4B-9AC9-9B324982118D}"/>
            </a:ext>
          </a:extLst>
        </xdr:cNvPr>
        <xdr:cNvSpPr>
          <a:spLocks noChangeAspect="1" noChangeArrowheads="1"/>
        </xdr:cNvSpPr>
      </xdr:nvSpPr>
      <xdr:spPr bwMode="auto">
        <a:xfrm>
          <a:off x="5486400" y="8166100"/>
          <a:ext cx="2921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xdr:col>
      <xdr:colOff>0</xdr:colOff>
      <xdr:row>37</xdr:row>
      <xdr:rowOff>0</xdr:rowOff>
    </xdr:from>
    <xdr:ext cx="292100" cy="190500"/>
    <xdr:sp macro="" textlink="">
      <xdr:nvSpPr>
        <xdr:cNvPr id="173" name="AutoShape 5" descr="Saudi Arabia">
          <a:hlinkClick xmlns:r="http://schemas.openxmlformats.org/officeDocument/2006/relationships" r:id="rId1" tooltip="Saudi Arabia"/>
          <a:extLst>
            <a:ext uri="{FF2B5EF4-FFF2-40B4-BE49-F238E27FC236}">
              <a16:creationId xmlns:a16="http://schemas.microsoft.com/office/drawing/2014/main" id="{26B5B8EE-438C-B74A-A17F-357C6E8A2A25}"/>
            </a:ext>
          </a:extLst>
        </xdr:cNvPr>
        <xdr:cNvSpPr>
          <a:spLocks noChangeAspect="1" noChangeArrowheads="1"/>
        </xdr:cNvSpPr>
      </xdr:nvSpPr>
      <xdr:spPr bwMode="auto">
        <a:xfrm>
          <a:off x="5486400" y="8394700"/>
          <a:ext cx="2921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xdr:col>
      <xdr:colOff>0</xdr:colOff>
      <xdr:row>38</xdr:row>
      <xdr:rowOff>0</xdr:rowOff>
    </xdr:from>
    <xdr:ext cx="292100" cy="190500"/>
    <xdr:sp macro="" textlink="">
      <xdr:nvSpPr>
        <xdr:cNvPr id="174" name="AutoShape 5" descr="Saudi Arabia">
          <a:hlinkClick xmlns:r="http://schemas.openxmlformats.org/officeDocument/2006/relationships" r:id="rId1" tooltip="Saudi Arabia"/>
          <a:extLst>
            <a:ext uri="{FF2B5EF4-FFF2-40B4-BE49-F238E27FC236}">
              <a16:creationId xmlns:a16="http://schemas.microsoft.com/office/drawing/2014/main" id="{0B785E58-B555-CD4E-A4AD-CFA008C7DA0D}"/>
            </a:ext>
          </a:extLst>
        </xdr:cNvPr>
        <xdr:cNvSpPr>
          <a:spLocks noChangeAspect="1" noChangeArrowheads="1"/>
        </xdr:cNvSpPr>
      </xdr:nvSpPr>
      <xdr:spPr bwMode="auto">
        <a:xfrm>
          <a:off x="5486400" y="8623300"/>
          <a:ext cx="2921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xdr:col>
      <xdr:colOff>0</xdr:colOff>
      <xdr:row>39</xdr:row>
      <xdr:rowOff>0</xdr:rowOff>
    </xdr:from>
    <xdr:ext cx="292100" cy="190500"/>
    <xdr:sp macro="" textlink="">
      <xdr:nvSpPr>
        <xdr:cNvPr id="175" name="AutoShape 5" descr="Saudi Arabia">
          <a:hlinkClick xmlns:r="http://schemas.openxmlformats.org/officeDocument/2006/relationships" r:id="rId1" tooltip="Saudi Arabia"/>
          <a:extLst>
            <a:ext uri="{FF2B5EF4-FFF2-40B4-BE49-F238E27FC236}">
              <a16:creationId xmlns:a16="http://schemas.microsoft.com/office/drawing/2014/main" id="{E0B08F1C-1B78-8947-80A6-BADF2E853030}"/>
            </a:ext>
          </a:extLst>
        </xdr:cNvPr>
        <xdr:cNvSpPr>
          <a:spLocks noChangeAspect="1" noChangeArrowheads="1"/>
        </xdr:cNvSpPr>
      </xdr:nvSpPr>
      <xdr:spPr bwMode="auto">
        <a:xfrm>
          <a:off x="5486400" y="8851900"/>
          <a:ext cx="2921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xdr:col>
      <xdr:colOff>0</xdr:colOff>
      <xdr:row>40</xdr:row>
      <xdr:rowOff>0</xdr:rowOff>
    </xdr:from>
    <xdr:ext cx="292100" cy="190500"/>
    <xdr:sp macro="" textlink="">
      <xdr:nvSpPr>
        <xdr:cNvPr id="176" name="AutoShape 5" descr="Saudi Arabia">
          <a:hlinkClick xmlns:r="http://schemas.openxmlformats.org/officeDocument/2006/relationships" r:id="rId1" tooltip="Saudi Arabia"/>
          <a:extLst>
            <a:ext uri="{FF2B5EF4-FFF2-40B4-BE49-F238E27FC236}">
              <a16:creationId xmlns:a16="http://schemas.microsoft.com/office/drawing/2014/main" id="{2A6490B6-D678-E346-8163-56AAB2D01E62}"/>
            </a:ext>
          </a:extLst>
        </xdr:cNvPr>
        <xdr:cNvSpPr>
          <a:spLocks noChangeAspect="1" noChangeArrowheads="1"/>
        </xdr:cNvSpPr>
      </xdr:nvSpPr>
      <xdr:spPr bwMode="auto">
        <a:xfrm>
          <a:off x="5486400" y="9080500"/>
          <a:ext cx="2921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xdr:col>
      <xdr:colOff>0</xdr:colOff>
      <xdr:row>41</xdr:row>
      <xdr:rowOff>0</xdr:rowOff>
    </xdr:from>
    <xdr:ext cx="292100" cy="190500"/>
    <xdr:sp macro="" textlink="">
      <xdr:nvSpPr>
        <xdr:cNvPr id="177" name="AutoShape 5" descr="Saudi Arabia">
          <a:hlinkClick xmlns:r="http://schemas.openxmlformats.org/officeDocument/2006/relationships" r:id="rId1" tooltip="Saudi Arabia"/>
          <a:extLst>
            <a:ext uri="{FF2B5EF4-FFF2-40B4-BE49-F238E27FC236}">
              <a16:creationId xmlns:a16="http://schemas.microsoft.com/office/drawing/2014/main" id="{61FE3C39-DC2C-D149-BFB7-EEB5E33FE118}"/>
            </a:ext>
          </a:extLst>
        </xdr:cNvPr>
        <xdr:cNvSpPr>
          <a:spLocks noChangeAspect="1" noChangeArrowheads="1"/>
        </xdr:cNvSpPr>
      </xdr:nvSpPr>
      <xdr:spPr bwMode="auto">
        <a:xfrm>
          <a:off x="5486400" y="9309100"/>
          <a:ext cx="2921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xdr:col>
      <xdr:colOff>0</xdr:colOff>
      <xdr:row>42</xdr:row>
      <xdr:rowOff>0</xdr:rowOff>
    </xdr:from>
    <xdr:ext cx="292100" cy="190500"/>
    <xdr:sp macro="" textlink="">
      <xdr:nvSpPr>
        <xdr:cNvPr id="178" name="AutoShape 5" descr="Saudi Arabia">
          <a:hlinkClick xmlns:r="http://schemas.openxmlformats.org/officeDocument/2006/relationships" r:id="rId1" tooltip="Saudi Arabia"/>
          <a:extLst>
            <a:ext uri="{FF2B5EF4-FFF2-40B4-BE49-F238E27FC236}">
              <a16:creationId xmlns:a16="http://schemas.microsoft.com/office/drawing/2014/main" id="{C4A2149C-2042-F04A-8A35-57CF3485AAAB}"/>
            </a:ext>
          </a:extLst>
        </xdr:cNvPr>
        <xdr:cNvSpPr>
          <a:spLocks noChangeAspect="1" noChangeArrowheads="1"/>
        </xdr:cNvSpPr>
      </xdr:nvSpPr>
      <xdr:spPr bwMode="auto">
        <a:xfrm>
          <a:off x="5486400" y="9537700"/>
          <a:ext cx="2921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xdr:col>
      <xdr:colOff>0</xdr:colOff>
      <xdr:row>43</xdr:row>
      <xdr:rowOff>0</xdr:rowOff>
    </xdr:from>
    <xdr:ext cx="292100" cy="190500"/>
    <xdr:sp macro="" textlink="">
      <xdr:nvSpPr>
        <xdr:cNvPr id="179" name="AutoShape 5" descr="Saudi Arabia">
          <a:hlinkClick xmlns:r="http://schemas.openxmlformats.org/officeDocument/2006/relationships" r:id="rId1" tooltip="Saudi Arabia"/>
          <a:extLst>
            <a:ext uri="{FF2B5EF4-FFF2-40B4-BE49-F238E27FC236}">
              <a16:creationId xmlns:a16="http://schemas.microsoft.com/office/drawing/2014/main" id="{2AF97C92-21AC-AF4A-A127-B8FAEEB5CCBC}"/>
            </a:ext>
          </a:extLst>
        </xdr:cNvPr>
        <xdr:cNvSpPr>
          <a:spLocks noChangeAspect="1" noChangeArrowheads="1"/>
        </xdr:cNvSpPr>
      </xdr:nvSpPr>
      <xdr:spPr bwMode="auto">
        <a:xfrm>
          <a:off x="5486400" y="9766300"/>
          <a:ext cx="2921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xdr:col>
      <xdr:colOff>0</xdr:colOff>
      <xdr:row>44</xdr:row>
      <xdr:rowOff>0</xdr:rowOff>
    </xdr:from>
    <xdr:ext cx="292100" cy="190500"/>
    <xdr:sp macro="" textlink="">
      <xdr:nvSpPr>
        <xdr:cNvPr id="180" name="AutoShape 5" descr="Saudi Arabia">
          <a:hlinkClick xmlns:r="http://schemas.openxmlformats.org/officeDocument/2006/relationships" r:id="rId1" tooltip="Saudi Arabia"/>
          <a:extLst>
            <a:ext uri="{FF2B5EF4-FFF2-40B4-BE49-F238E27FC236}">
              <a16:creationId xmlns:a16="http://schemas.microsoft.com/office/drawing/2014/main" id="{19D07BDF-0531-7644-86B9-B6A300FA594A}"/>
            </a:ext>
          </a:extLst>
        </xdr:cNvPr>
        <xdr:cNvSpPr>
          <a:spLocks noChangeAspect="1" noChangeArrowheads="1"/>
        </xdr:cNvSpPr>
      </xdr:nvSpPr>
      <xdr:spPr bwMode="auto">
        <a:xfrm>
          <a:off x="5486400" y="9994900"/>
          <a:ext cx="2921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xdr:col>
      <xdr:colOff>0</xdr:colOff>
      <xdr:row>45</xdr:row>
      <xdr:rowOff>0</xdr:rowOff>
    </xdr:from>
    <xdr:ext cx="292100" cy="190500"/>
    <xdr:sp macro="" textlink="">
      <xdr:nvSpPr>
        <xdr:cNvPr id="181" name="AutoShape 5" descr="Saudi Arabia">
          <a:hlinkClick xmlns:r="http://schemas.openxmlformats.org/officeDocument/2006/relationships" r:id="rId1" tooltip="Saudi Arabia"/>
          <a:extLst>
            <a:ext uri="{FF2B5EF4-FFF2-40B4-BE49-F238E27FC236}">
              <a16:creationId xmlns:a16="http://schemas.microsoft.com/office/drawing/2014/main" id="{E1453404-D93F-A14A-89F3-9A002AFC70E4}"/>
            </a:ext>
          </a:extLst>
        </xdr:cNvPr>
        <xdr:cNvSpPr>
          <a:spLocks noChangeAspect="1" noChangeArrowheads="1"/>
        </xdr:cNvSpPr>
      </xdr:nvSpPr>
      <xdr:spPr bwMode="auto">
        <a:xfrm>
          <a:off x="5486400" y="10223500"/>
          <a:ext cx="2921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xdr:col>
      <xdr:colOff>0</xdr:colOff>
      <xdr:row>46</xdr:row>
      <xdr:rowOff>0</xdr:rowOff>
    </xdr:from>
    <xdr:ext cx="292100" cy="190500"/>
    <xdr:sp macro="" textlink="">
      <xdr:nvSpPr>
        <xdr:cNvPr id="182" name="AutoShape 5" descr="Saudi Arabia">
          <a:hlinkClick xmlns:r="http://schemas.openxmlformats.org/officeDocument/2006/relationships" r:id="rId1" tooltip="Saudi Arabia"/>
          <a:extLst>
            <a:ext uri="{FF2B5EF4-FFF2-40B4-BE49-F238E27FC236}">
              <a16:creationId xmlns:a16="http://schemas.microsoft.com/office/drawing/2014/main" id="{4F19035D-856F-334B-83BF-9C22DA3027DA}"/>
            </a:ext>
          </a:extLst>
        </xdr:cNvPr>
        <xdr:cNvSpPr>
          <a:spLocks noChangeAspect="1" noChangeArrowheads="1"/>
        </xdr:cNvSpPr>
      </xdr:nvSpPr>
      <xdr:spPr bwMode="auto">
        <a:xfrm>
          <a:off x="5486400" y="10452100"/>
          <a:ext cx="2921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xdr:col>
      <xdr:colOff>0</xdr:colOff>
      <xdr:row>47</xdr:row>
      <xdr:rowOff>0</xdr:rowOff>
    </xdr:from>
    <xdr:ext cx="292100" cy="190500"/>
    <xdr:sp macro="" textlink="">
      <xdr:nvSpPr>
        <xdr:cNvPr id="183" name="AutoShape 5" descr="Saudi Arabia">
          <a:hlinkClick xmlns:r="http://schemas.openxmlformats.org/officeDocument/2006/relationships" r:id="rId1" tooltip="Saudi Arabia"/>
          <a:extLst>
            <a:ext uri="{FF2B5EF4-FFF2-40B4-BE49-F238E27FC236}">
              <a16:creationId xmlns:a16="http://schemas.microsoft.com/office/drawing/2014/main" id="{EF0F01EA-D0EF-594B-BD42-C2FD564A8F3B}"/>
            </a:ext>
          </a:extLst>
        </xdr:cNvPr>
        <xdr:cNvSpPr>
          <a:spLocks noChangeAspect="1" noChangeArrowheads="1"/>
        </xdr:cNvSpPr>
      </xdr:nvSpPr>
      <xdr:spPr bwMode="auto">
        <a:xfrm>
          <a:off x="5486400" y="10680700"/>
          <a:ext cx="2921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27</xdr:row>
      <xdr:rowOff>0</xdr:rowOff>
    </xdr:from>
    <xdr:ext cx="292100" cy="190500"/>
    <xdr:sp macro="" textlink="">
      <xdr:nvSpPr>
        <xdr:cNvPr id="184" name="AutoShape 7" descr="Italy">
          <a:hlinkClick xmlns:r="http://schemas.openxmlformats.org/officeDocument/2006/relationships" r:id="rId3" tooltip="Italy"/>
          <a:extLst>
            <a:ext uri="{FF2B5EF4-FFF2-40B4-BE49-F238E27FC236}">
              <a16:creationId xmlns:a16="http://schemas.microsoft.com/office/drawing/2014/main" id="{00ED33AF-CE62-D143-81DD-F0E8A08F1E7A}"/>
            </a:ext>
          </a:extLst>
        </xdr:cNvPr>
        <xdr:cNvSpPr>
          <a:spLocks noChangeAspect="1" noChangeArrowheads="1"/>
        </xdr:cNvSpPr>
      </xdr:nvSpPr>
      <xdr:spPr bwMode="auto">
        <a:xfrm>
          <a:off x="7962900" y="6096000"/>
          <a:ext cx="2921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9</xdr:col>
      <xdr:colOff>0</xdr:colOff>
      <xdr:row>27</xdr:row>
      <xdr:rowOff>0</xdr:rowOff>
    </xdr:from>
    <xdr:ext cx="292100" cy="190500"/>
    <xdr:sp macro="" textlink="">
      <xdr:nvSpPr>
        <xdr:cNvPr id="185" name="AutoShape 7" descr="Italy">
          <a:hlinkClick xmlns:r="http://schemas.openxmlformats.org/officeDocument/2006/relationships" r:id="rId3" tooltip="Italy"/>
          <a:extLst>
            <a:ext uri="{FF2B5EF4-FFF2-40B4-BE49-F238E27FC236}">
              <a16:creationId xmlns:a16="http://schemas.microsoft.com/office/drawing/2014/main" id="{BDBE3E4D-D42A-6846-8ECB-16738A855A19}"/>
            </a:ext>
          </a:extLst>
        </xdr:cNvPr>
        <xdr:cNvSpPr>
          <a:spLocks noChangeAspect="1" noChangeArrowheads="1"/>
        </xdr:cNvSpPr>
      </xdr:nvSpPr>
      <xdr:spPr bwMode="auto">
        <a:xfrm>
          <a:off x="8788400" y="6096000"/>
          <a:ext cx="2921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10</xdr:col>
      <xdr:colOff>0</xdr:colOff>
      <xdr:row>27</xdr:row>
      <xdr:rowOff>0</xdr:rowOff>
    </xdr:from>
    <xdr:ext cx="292100" cy="190500"/>
    <xdr:sp macro="" textlink="">
      <xdr:nvSpPr>
        <xdr:cNvPr id="186" name="AutoShape 7" descr="Italy">
          <a:hlinkClick xmlns:r="http://schemas.openxmlformats.org/officeDocument/2006/relationships" r:id="rId3" tooltip="Italy"/>
          <a:extLst>
            <a:ext uri="{FF2B5EF4-FFF2-40B4-BE49-F238E27FC236}">
              <a16:creationId xmlns:a16="http://schemas.microsoft.com/office/drawing/2014/main" id="{35FD5C7B-E5B8-1A45-8130-2B07002DFB0B}"/>
            </a:ext>
          </a:extLst>
        </xdr:cNvPr>
        <xdr:cNvSpPr>
          <a:spLocks noChangeAspect="1" noChangeArrowheads="1"/>
        </xdr:cNvSpPr>
      </xdr:nvSpPr>
      <xdr:spPr bwMode="auto">
        <a:xfrm>
          <a:off x="9613900" y="6096000"/>
          <a:ext cx="2921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27</xdr:row>
      <xdr:rowOff>0</xdr:rowOff>
    </xdr:from>
    <xdr:ext cx="292100" cy="190500"/>
    <xdr:sp macro="" textlink="">
      <xdr:nvSpPr>
        <xdr:cNvPr id="187" name="AutoShape 7" descr="Italy">
          <a:hlinkClick xmlns:r="http://schemas.openxmlformats.org/officeDocument/2006/relationships" r:id="rId3" tooltip="Italy"/>
          <a:extLst>
            <a:ext uri="{FF2B5EF4-FFF2-40B4-BE49-F238E27FC236}">
              <a16:creationId xmlns:a16="http://schemas.microsoft.com/office/drawing/2014/main" id="{8E0B4BD6-95E3-8844-8093-D0DFF00F2E85}"/>
            </a:ext>
          </a:extLst>
        </xdr:cNvPr>
        <xdr:cNvSpPr>
          <a:spLocks noChangeAspect="1" noChangeArrowheads="1"/>
        </xdr:cNvSpPr>
      </xdr:nvSpPr>
      <xdr:spPr bwMode="auto">
        <a:xfrm>
          <a:off x="10439400" y="6096000"/>
          <a:ext cx="2921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27</xdr:row>
      <xdr:rowOff>0</xdr:rowOff>
    </xdr:from>
    <xdr:ext cx="292100" cy="190500"/>
    <xdr:sp macro="" textlink="">
      <xdr:nvSpPr>
        <xdr:cNvPr id="188" name="AutoShape 7" descr="Italy">
          <a:hlinkClick xmlns:r="http://schemas.openxmlformats.org/officeDocument/2006/relationships" r:id="rId3" tooltip="Italy"/>
          <a:extLst>
            <a:ext uri="{FF2B5EF4-FFF2-40B4-BE49-F238E27FC236}">
              <a16:creationId xmlns:a16="http://schemas.microsoft.com/office/drawing/2014/main" id="{8A83F340-AF96-994E-B426-960AEBDEFB09}"/>
            </a:ext>
          </a:extLst>
        </xdr:cNvPr>
        <xdr:cNvSpPr>
          <a:spLocks noChangeAspect="1" noChangeArrowheads="1"/>
        </xdr:cNvSpPr>
      </xdr:nvSpPr>
      <xdr:spPr bwMode="auto">
        <a:xfrm>
          <a:off x="11264900" y="6096000"/>
          <a:ext cx="2921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24</xdr:col>
      <xdr:colOff>0</xdr:colOff>
      <xdr:row>28</xdr:row>
      <xdr:rowOff>0</xdr:rowOff>
    </xdr:from>
    <xdr:ext cx="292100" cy="152400"/>
    <xdr:sp macro="" textlink="">
      <xdr:nvSpPr>
        <xdr:cNvPr id="189" name="AutoShape 24" descr="United Arab Emirates">
          <a:hlinkClick xmlns:r="http://schemas.openxmlformats.org/officeDocument/2006/relationships" r:id="rId17" tooltip="United Arab Emirates"/>
          <a:extLst>
            <a:ext uri="{FF2B5EF4-FFF2-40B4-BE49-F238E27FC236}">
              <a16:creationId xmlns:a16="http://schemas.microsoft.com/office/drawing/2014/main" id="{8AD1332B-9431-9C44-8AD3-D5618EC7C32F}"/>
            </a:ext>
          </a:extLst>
        </xdr:cNvPr>
        <xdr:cNvSpPr>
          <a:spLocks noChangeAspect="1" noChangeArrowheads="1"/>
        </xdr:cNvSpPr>
      </xdr:nvSpPr>
      <xdr:spPr bwMode="auto">
        <a:xfrm>
          <a:off x="21209000" y="6324600"/>
          <a:ext cx="2921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24</xdr:col>
      <xdr:colOff>0</xdr:colOff>
      <xdr:row>29</xdr:row>
      <xdr:rowOff>0</xdr:rowOff>
    </xdr:from>
    <xdr:ext cx="292100" cy="152400"/>
    <xdr:sp macro="" textlink="">
      <xdr:nvSpPr>
        <xdr:cNvPr id="190" name="AutoShape 24" descr="United Arab Emirates">
          <a:hlinkClick xmlns:r="http://schemas.openxmlformats.org/officeDocument/2006/relationships" r:id="rId17" tooltip="United Arab Emirates"/>
          <a:extLst>
            <a:ext uri="{FF2B5EF4-FFF2-40B4-BE49-F238E27FC236}">
              <a16:creationId xmlns:a16="http://schemas.microsoft.com/office/drawing/2014/main" id="{2A7D68D9-2F7F-D14A-BBA9-68730B3FF298}"/>
            </a:ext>
          </a:extLst>
        </xdr:cNvPr>
        <xdr:cNvSpPr>
          <a:spLocks noChangeAspect="1" noChangeArrowheads="1"/>
        </xdr:cNvSpPr>
      </xdr:nvSpPr>
      <xdr:spPr bwMode="auto">
        <a:xfrm>
          <a:off x="21209000" y="6553200"/>
          <a:ext cx="2921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24</xdr:col>
      <xdr:colOff>0</xdr:colOff>
      <xdr:row>30</xdr:row>
      <xdr:rowOff>0</xdr:rowOff>
    </xdr:from>
    <xdr:ext cx="292100" cy="152400"/>
    <xdr:sp macro="" textlink="">
      <xdr:nvSpPr>
        <xdr:cNvPr id="191" name="AutoShape 24" descr="United Arab Emirates">
          <a:hlinkClick xmlns:r="http://schemas.openxmlformats.org/officeDocument/2006/relationships" r:id="rId17" tooltip="United Arab Emirates"/>
          <a:extLst>
            <a:ext uri="{FF2B5EF4-FFF2-40B4-BE49-F238E27FC236}">
              <a16:creationId xmlns:a16="http://schemas.microsoft.com/office/drawing/2014/main" id="{E77B39B5-1725-6F45-9764-8068B156B5A2}"/>
            </a:ext>
          </a:extLst>
        </xdr:cNvPr>
        <xdr:cNvSpPr>
          <a:spLocks noChangeAspect="1" noChangeArrowheads="1"/>
        </xdr:cNvSpPr>
      </xdr:nvSpPr>
      <xdr:spPr bwMode="auto">
        <a:xfrm>
          <a:off x="21209000" y="6781800"/>
          <a:ext cx="2921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24</xdr:col>
      <xdr:colOff>0</xdr:colOff>
      <xdr:row>31</xdr:row>
      <xdr:rowOff>0</xdr:rowOff>
    </xdr:from>
    <xdr:ext cx="292100" cy="152400"/>
    <xdr:sp macro="" textlink="">
      <xdr:nvSpPr>
        <xdr:cNvPr id="192" name="AutoShape 24" descr="United Arab Emirates">
          <a:hlinkClick xmlns:r="http://schemas.openxmlformats.org/officeDocument/2006/relationships" r:id="rId17" tooltip="United Arab Emirates"/>
          <a:extLst>
            <a:ext uri="{FF2B5EF4-FFF2-40B4-BE49-F238E27FC236}">
              <a16:creationId xmlns:a16="http://schemas.microsoft.com/office/drawing/2014/main" id="{C04E9432-6584-1846-A185-8E2199725EF5}"/>
            </a:ext>
          </a:extLst>
        </xdr:cNvPr>
        <xdr:cNvSpPr>
          <a:spLocks noChangeAspect="1" noChangeArrowheads="1"/>
        </xdr:cNvSpPr>
      </xdr:nvSpPr>
      <xdr:spPr bwMode="auto">
        <a:xfrm>
          <a:off x="21209000" y="7010400"/>
          <a:ext cx="2921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24</xdr:col>
      <xdr:colOff>0</xdr:colOff>
      <xdr:row>32</xdr:row>
      <xdr:rowOff>0</xdr:rowOff>
    </xdr:from>
    <xdr:ext cx="292100" cy="152400"/>
    <xdr:sp macro="" textlink="">
      <xdr:nvSpPr>
        <xdr:cNvPr id="193" name="AutoShape 24" descr="United Arab Emirates">
          <a:hlinkClick xmlns:r="http://schemas.openxmlformats.org/officeDocument/2006/relationships" r:id="rId17" tooltip="United Arab Emirates"/>
          <a:extLst>
            <a:ext uri="{FF2B5EF4-FFF2-40B4-BE49-F238E27FC236}">
              <a16:creationId xmlns:a16="http://schemas.microsoft.com/office/drawing/2014/main" id="{888F92B1-2C77-634D-A894-CBC6FCE12270}"/>
            </a:ext>
          </a:extLst>
        </xdr:cNvPr>
        <xdr:cNvSpPr>
          <a:spLocks noChangeAspect="1" noChangeArrowheads="1"/>
        </xdr:cNvSpPr>
      </xdr:nvSpPr>
      <xdr:spPr bwMode="auto">
        <a:xfrm>
          <a:off x="21209000" y="7239000"/>
          <a:ext cx="2921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24</xdr:col>
      <xdr:colOff>0</xdr:colOff>
      <xdr:row>33</xdr:row>
      <xdr:rowOff>0</xdr:rowOff>
    </xdr:from>
    <xdr:ext cx="292100" cy="152400"/>
    <xdr:sp macro="" textlink="">
      <xdr:nvSpPr>
        <xdr:cNvPr id="194" name="AutoShape 24" descr="United Arab Emirates">
          <a:hlinkClick xmlns:r="http://schemas.openxmlformats.org/officeDocument/2006/relationships" r:id="rId17" tooltip="United Arab Emirates"/>
          <a:extLst>
            <a:ext uri="{FF2B5EF4-FFF2-40B4-BE49-F238E27FC236}">
              <a16:creationId xmlns:a16="http://schemas.microsoft.com/office/drawing/2014/main" id="{D70DE10F-338D-1F47-A24B-E40691DC1F36}"/>
            </a:ext>
          </a:extLst>
        </xdr:cNvPr>
        <xdr:cNvSpPr>
          <a:spLocks noChangeAspect="1" noChangeArrowheads="1"/>
        </xdr:cNvSpPr>
      </xdr:nvSpPr>
      <xdr:spPr bwMode="auto">
        <a:xfrm>
          <a:off x="21209000" y="7480300"/>
          <a:ext cx="2921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24</xdr:col>
      <xdr:colOff>0</xdr:colOff>
      <xdr:row>34</xdr:row>
      <xdr:rowOff>0</xdr:rowOff>
    </xdr:from>
    <xdr:ext cx="292100" cy="152400"/>
    <xdr:sp macro="" textlink="">
      <xdr:nvSpPr>
        <xdr:cNvPr id="195" name="AutoShape 24" descr="United Arab Emirates">
          <a:hlinkClick xmlns:r="http://schemas.openxmlformats.org/officeDocument/2006/relationships" r:id="rId17" tooltip="United Arab Emirates"/>
          <a:extLst>
            <a:ext uri="{FF2B5EF4-FFF2-40B4-BE49-F238E27FC236}">
              <a16:creationId xmlns:a16="http://schemas.microsoft.com/office/drawing/2014/main" id="{368BEABA-5D02-6044-9600-983F4E913725}"/>
            </a:ext>
          </a:extLst>
        </xdr:cNvPr>
        <xdr:cNvSpPr>
          <a:spLocks noChangeAspect="1" noChangeArrowheads="1"/>
        </xdr:cNvSpPr>
      </xdr:nvSpPr>
      <xdr:spPr bwMode="auto">
        <a:xfrm>
          <a:off x="21209000" y="7708900"/>
          <a:ext cx="2921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24</xdr:col>
      <xdr:colOff>0</xdr:colOff>
      <xdr:row>35</xdr:row>
      <xdr:rowOff>0</xdr:rowOff>
    </xdr:from>
    <xdr:ext cx="292100" cy="152400"/>
    <xdr:sp macro="" textlink="">
      <xdr:nvSpPr>
        <xdr:cNvPr id="196" name="AutoShape 24" descr="United Arab Emirates">
          <a:hlinkClick xmlns:r="http://schemas.openxmlformats.org/officeDocument/2006/relationships" r:id="rId17" tooltip="United Arab Emirates"/>
          <a:extLst>
            <a:ext uri="{FF2B5EF4-FFF2-40B4-BE49-F238E27FC236}">
              <a16:creationId xmlns:a16="http://schemas.microsoft.com/office/drawing/2014/main" id="{B93452DB-3F2E-5147-A844-EC7E8F68AF55}"/>
            </a:ext>
          </a:extLst>
        </xdr:cNvPr>
        <xdr:cNvSpPr>
          <a:spLocks noChangeAspect="1" noChangeArrowheads="1"/>
        </xdr:cNvSpPr>
      </xdr:nvSpPr>
      <xdr:spPr bwMode="auto">
        <a:xfrm>
          <a:off x="21209000" y="7937500"/>
          <a:ext cx="2921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24</xdr:col>
      <xdr:colOff>0</xdr:colOff>
      <xdr:row>36</xdr:row>
      <xdr:rowOff>0</xdr:rowOff>
    </xdr:from>
    <xdr:ext cx="292100" cy="152400"/>
    <xdr:sp macro="" textlink="">
      <xdr:nvSpPr>
        <xdr:cNvPr id="197" name="AutoShape 24" descr="United Arab Emirates">
          <a:hlinkClick xmlns:r="http://schemas.openxmlformats.org/officeDocument/2006/relationships" r:id="rId17" tooltip="United Arab Emirates"/>
          <a:extLst>
            <a:ext uri="{FF2B5EF4-FFF2-40B4-BE49-F238E27FC236}">
              <a16:creationId xmlns:a16="http://schemas.microsoft.com/office/drawing/2014/main" id="{42C6D2D3-23A7-AB48-9B59-D0CDDCA18A87}"/>
            </a:ext>
          </a:extLst>
        </xdr:cNvPr>
        <xdr:cNvSpPr>
          <a:spLocks noChangeAspect="1" noChangeArrowheads="1"/>
        </xdr:cNvSpPr>
      </xdr:nvSpPr>
      <xdr:spPr bwMode="auto">
        <a:xfrm>
          <a:off x="21209000" y="8166100"/>
          <a:ext cx="2921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24</xdr:col>
      <xdr:colOff>0</xdr:colOff>
      <xdr:row>37</xdr:row>
      <xdr:rowOff>0</xdr:rowOff>
    </xdr:from>
    <xdr:ext cx="292100" cy="152400"/>
    <xdr:sp macro="" textlink="">
      <xdr:nvSpPr>
        <xdr:cNvPr id="198" name="AutoShape 24" descr="United Arab Emirates">
          <a:hlinkClick xmlns:r="http://schemas.openxmlformats.org/officeDocument/2006/relationships" r:id="rId17" tooltip="United Arab Emirates"/>
          <a:extLst>
            <a:ext uri="{FF2B5EF4-FFF2-40B4-BE49-F238E27FC236}">
              <a16:creationId xmlns:a16="http://schemas.microsoft.com/office/drawing/2014/main" id="{8A24DC69-5FCB-7A49-9168-EDBD3C465814}"/>
            </a:ext>
          </a:extLst>
        </xdr:cNvPr>
        <xdr:cNvSpPr>
          <a:spLocks noChangeAspect="1" noChangeArrowheads="1"/>
        </xdr:cNvSpPr>
      </xdr:nvSpPr>
      <xdr:spPr bwMode="auto">
        <a:xfrm>
          <a:off x="21209000" y="8394700"/>
          <a:ext cx="2921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24</xdr:col>
      <xdr:colOff>0</xdr:colOff>
      <xdr:row>38</xdr:row>
      <xdr:rowOff>0</xdr:rowOff>
    </xdr:from>
    <xdr:ext cx="292100" cy="152400"/>
    <xdr:sp macro="" textlink="">
      <xdr:nvSpPr>
        <xdr:cNvPr id="199" name="AutoShape 24" descr="United Arab Emirates">
          <a:hlinkClick xmlns:r="http://schemas.openxmlformats.org/officeDocument/2006/relationships" r:id="rId17" tooltip="United Arab Emirates"/>
          <a:extLst>
            <a:ext uri="{FF2B5EF4-FFF2-40B4-BE49-F238E27FC236}">
              <a16:creationId xmlns:a16="http://schemas.microsoft.com/office/drawing/2014/main" id="{51C3AD3A-CE0F-1D4B-9EF5-2EB355DC73F2}"/>
            </a:ext>
          </a:extLst>
        </xdr:cNvPr>
        <xdr:cNvSpPr>
          <a:spLocks noChangeAspect="1" noChangeArrowheads="1"/>
        </xdr:cNvSpPr>
      </xdr:nvSpPr>
      <xdr:spPr bwMode="auto">
        <a:xfrm>
          <a:off x="21209000" y="8623300"/>
          <a:ext cx="2921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24</xdr:col>
      <xdr:colOff>0</xdr:colOff>
      <xdr:row>39</xdr:row>
      <xdr:rowOff>0</xdr:rowOff>
    </xdr:from>
    <xdr:ext cx="292100" cy="152400"/>
    <xdr:sp macro="" textlink="">
      <xdr:nvSpPr>
        <xdr:cNvPr id="200" name="AutoShape 24" descr="United Arab Emirates">
          <a:hlinkClick xmlns:r="http://schemas.openxmlformats.org/officeDocument/2006/relationships" r:id="rId17" tooltip="United Arab Emirates"/>
          <a:extLst>
            <a:ext uri="{FF2B5EF4-FFF2-40B4-BE49-F238E27FC236}">
              <a16:creationId xmlns:a16="http://schemas.microsoft.com/office/drawing/2014/main" id="{255C10E1-89B8-D846-AA04-F29AF93A3D0F}"/>
            </a:ext>
          </a:extLst>
        </xdr:cNvPr>
        <xdr:cNvSpPr>
          <a:spLocks noChangeAspect="1" noChangeArrowheads="1"/>
        </xdr:cNvSpPr>
      </xdr:nvSpPr>
      <xdr:spPr bwMode="auto">
        <a:xfrm>
          <a:off x="21209000" y="8851900"/>
          <a:ext cx="2921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24</xdr:col>
      <xdr:colOff>0</xdr:colOff>
      <xdr:row>40</xdr:row>
      <xdr:rowOff>0</xdr:rowOff>
    </xdr:from>
    <xdr:ext cx="292100" cy="152400"/>
    <xdr:sp macro="" textlink="">
      <xdr:nvSpPr>
        <xdr:cNvPr id="201" name="AutoShape 24" descr="United Arab Emirates">
          <a:hlinkClick xmlns:r="http://schemas.openxmlformats.org/officeDocument/2006/relationships" r:id="rId17" tooltip="United Arab Emirates"/>
          <a:extLst>
            <a:ext uri="{FF2B5EF4-FFF2-40B4-BE49-F238E27FC236}">
              <a16:creationId xmlns:a16="http://schemas.microsoft.com/office/drawing/2014/main" id="{2E7BE55A-05A5-524F-B1BB-23D05A6EC693}"/>
            </a:ext>
          </a:extLst>
        </xdr:cNvPr>
        <xdr:cNvSpPr>
          <a:spLocks noChangeAspect="1" noChangeArrowheads="1"/>
        </xdr:cNvSpPr>
      </xdr:nvSpPr>
      <xdr:spPr bwMode="auto">
        <a:xfrm>
          <a:off x="21209000" y="9080500"/>
          <a:ext cx="2921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24</xdr:col>
      <xdr:colOff>0</xdr:colOff>
      <xdr:row>41</xdr:row>
      <xdr:rowOff>0</xdr:rowOff>
    </xdr:from>
    <xdr:ext cx="292100" cy="152400"/>
    <xdr:sp macro="" textlink="">
      <xdr:nvSpPr>
        <xdr:cNvPr id="202" name="AutoShape 24" descr="United Arab Emirates">
          <a:hlinkClick xmlns:r="http://schemas.openxmlformats.org/officeDocument/2006/relationships" r:id="rId17" tooltip="United Arab Emirates"/>
          <a:extLst>
            <a:ext uri="{FF2B5EF4-FFF2-40B4-BE49-F238E27FC236}">
              <a16:creationId xmlns:a16="http://schemas.microsoft.com/office/drawing/2014/main" id="{C6A4AF5C-527E-D24B-9124-94126FADE5A9}"/>
            </a:ext>
          </a:extLst>
        </xdr:cNvPr>
        <xdr:cNvSpPr>
          <a:spLocks noChangeAspect="1" noChangeArrowheads="1"/>
        </xdr:cNvSpPr>
      </xdr:nvSpPr>
      <xdr:spPr bwMode="auto">
        <a:xfrm>
          <a:off x="21209000" y="9309100"/>
          <a:ext cx="2921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24</xdr:col>
      <xdr:colOff>0</xdr:colOff>
      <xdr:row>42</xdr:row>
      <xdr:rowOff>0</xdr:rowOff>
    </xdr:from>
    <xdr:ext cx="292100" cy="152400"/>
    <xdr:sp macro="" textlink="">
      <xdr:nvSpPr>
        <xdr:cNvPr id="203" name="AutoShape 24" descr="United Arab Emirates">
          <a:hlinkClick xmlns:r="http://schemas.openxmlformats.org/officeDocument/2006/relationships" r:id="rId17" tooltip="United Arab Emirates"/>
          <a:extLst>
            <a:ext uri="{FF2B5EF4-FFF2-40B4-BE49-F238E27FC236}">
              <a16:creationId xmlns:a16="http://schemas.microsoft.com/office/drawing/2014/main" id="{7F811E38-D105-6745-ABDD-9631720CB627}"/>
            </a:ext>
          </a:extLst>
        </xdr:cNvPr>
        <xdr:cNvSpPr>
          <a:spLocks noChangeAspect="1" noChangeArrowheads="1"/>
        </xdr:cNvSpPr>
      </xdr:nvSpPr>
      <xdr:spPr bwMode="auto">
        <a:xfrm>
          <a:off x="21209000" y="9537700"/>
          <a:ext cx="2921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24</xdr:col>
      <xdr:colOff>0</xdr:colOff>
      <xdr:row>43</xdr:row>
      <xdr:rowOff>0</xdr:rowOff>
    </xdr:from>
    <xdr:ext cx="292100" cy="152400"/>
    <xdr:sp macro="" textlink="">
      <xdr:nvSpPr>
        <xdr:cNvPr id="204" name="AutoShape 24" descr="United Arab Emirates">
          <a:hlinkClick xmlns:r="http://schemas.openxmlformats.org/officeDocument/2006/relationships" r:id="rId17" tooltip="United Arab Emirates"/>
          <a:extLst>
            <a:ext uri="{FF2B5EF4-FFF2-40B4-BE49-F238E27FC236}">
              <a16:creationId xmlns:a16="http://schemas.microsoft.com/office/drawing/2014/main" id="{D351295A-CBCF-964F-AC98-268A981B6235}"/>
            </a:ext>
          </a:extLst>
        </xdr:cNvPr>
        <xdr:cNvSpPr>
          <a:spLocks noChangeAspect="1" noChangeArrowheads="1"/>
        </xdr:cNvSpPr>
      </xdr:nvSpPr>
      <xdr:spPr bwMode="auto">
        <a:xfrm>
          <a:off x="21209000" y="9766300"/>
          <a:ext cx="2921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24</xdr:col>
      <xdr:colOff>0</xdr:colOff>
      <xdr:row>44</xdr:row>
      <xdr:rowOff>0</xdr:rowOff>
    </xdr:from>
    <xdr:ext cx="292100" cy="152400"/>
    <xdr:sp macro="" textlink="">
      <xdr:nvSpPr>
        <xdr:cNvPr id="205" name="AutoShape 24" descr="United Arab Emirates">
          <a:hlinkClick xmlns:r="http://schemas.openxmlformats.org/officeDocument/2006/relationships" r:id="rId17" tooltip="United Arab Emirates"/>
          <a:extLst>
            <a:ext uri="{FF2B5EF4-FFF2-40B4-BE49-F238E27FC236}">
              <a16:creationId xmlns:a16="http://schemas.microsoft.com/office/drawing/2014/main" id="{BC875453-DB2C-2B47-BC20-6AC368568E69}"/>
            </a:ext>
          </a:extLst>
        </xdr:cNvPr>
        <xdr:cNvSpPr>
          <a:spLocks noChangeAspect="1" noChangeArrowheads="1"/>
        </xdr:cNvSpPr>
      </xdr:nvSpPr>
      <xdr:spPr bwMode="auto">
        <a:xfrm>
          <a:off x="21209000" y="9994900"/>
          <a:ext cx="2921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24</xdr:col>
      <xdr:colOff>0</xdr:colOff>
      <xdr:row>45</xdr:row>
      <xdr:rowOff>0</xdr:rowOff>
    </xdr:from>
    <xdr:ext cx="292100" cy="152400"/>
    <xdr:sp macro="" textlink="">
      <xdr:nvSpPr>
        <xdr:cNvPr id="206" name="AutoShape 24" descr="United Arab Emirates">
          <a:hlinkClick xmlns:r="http://schemas.openxmlformats.org/officeDocument/2006/relationships" r:id="rId17" tooltip="United Arab Emirates"/>
          <a:extLst>
            <a:ext uri="{FF2B5EF4-FFF2-40B4-BE49-F238E27FC236}">
              <a16:creationId xmlns:a16="http://schemas.microsoft.com/office/drawing/2014/main" id="{4B121CA1-BA6A-E849-87C8-899B219F75FE}"/>
            </a:ext>
          </a:extLst>
        </xdr:cNvPr>
        <xdr:cNvSpPr>
          <a:spLocks noChangeAspect="1" noChangeArrowheads="1"/>
        </xdr:cNvSpPr>
      </xdr:nvSpPr>
      <xdr:spPr bwMode="auto">
        <a:xfrm>
          <a:off x="21209000" y="10223500"/>
          <a:ext cx="2921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24</xdr:col>
      <xdr:colOff>0</xdr:colOff>
      <xdr:row>46</xdr:row>
      <xdr:rowOff>0</xdr:rowOff>
    </xdr:from>
    <xdr:ext cx="292100" cy="152400"/>
    <xdr:sp macro="" textlink="">
      <xdr:nvSpPr>
        <xdr:cNvPr id="207" name="AutoShape 24" descr="United Arab Emirates">
          <a:hlinkClick xmlns:r="http://schemas.openxmlformats.org/officeDocument/2006/relationships" r:id="rId17" tooltip="United Arab Emirates"/>
          <a:extLst>
            <a:ext uri="{FF2B5EF4-FFF2-40B4-BE49-F238E27FC236}">
              <a16:creationId xmlns:a16="http://schemas.microsoft.com/office/drawing/2014/main" id="{0DA2E719-7DB6-FA47-980B-FD5B013BEB66}"/>
            </a:ext>
          </a:extLst>
        </xdr:cNvPr>
        <xdr:cNvSpPr>
          <a:spLocks noChangeAspect="1" noChangeArrowheads="1"/>
        </xdr:cNvSpPr>
      </xdr:nvSpPr>
      <xdr:spPr bwMode="auto">
        <a:xfrm>
          <a:off x="21209000" y="10452100"/>
          <a:ext cx="2921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24</xdr:col>
      <xdr:colOff>0</xdr:colOff>
      <xdr:row>47</xdr:row>
      <xdr:rowOff>0</xdr:rowOff>
    </xdr:from>
    <xdr:ext cx="292100" cy="152400"/>
    <xdr:sp macro="" textlink="">
      <xdr:nvSpPr>
        <xdr:cNvPr id="208" name="AutoShape 24" descr="United Arab Emirates">
          <a:hlinkClick xmlns:r="http://schemas.openxmlformats.org/officeDocument/2006/relationships" r:id="rId17" tooltip="United Arab Emirates"/>
          <a:extLst>
            <a:ext uri="{FF2B5EF4-FFF2-40B4-BE49-F238E27FC236}">
              <a16:creationId xmlns:a16="http://schemas.microsoft.com/office/drawing/2014/main" id="{6C9E3AF6-4B2F-5849-9EBD-C9C4C196C68D}"/>
            </a:ext>
          </a:extLst>
        </xdr:cNvPr>
        <xdr:cNvSpPr>
          <a:spLocks noChangeAspect="1" noChangeArrowheads="1"/>
        </xdr:cNvSpPr>
      </xdr:nvSpPr>
      <xdr:spPr bwMode="auto">
        <a:xfrm>
          <a:off x="21209000" y="10680700"/>
          <a:ext cx="2921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22</xdr:col>
      <xdr:colOff>0</xdr:colOff>
      <xdr:row>28</xdr:row>
      <xdr:rowOff>0</xdr:rowOff>
    </xdr:from>
    <xdr:ext cx="292100" cy="152400"/>
    <xdr:sp macro="" textlink="">
      <xdr:nvSpPr>
        <xdr:cNvPr id="209" name="AutoShape 22" descr="United States">
          <a:hlinkClick xmlns:r="http://schemas.openxmlformats.org/officeDocument/2006/relationships" r:id="rId2" tooltip="United States"/>
          <a:extLst>
            <a:ext uri="{FF2B5EF4-FFF2-40B4-BE49-F238E27FC236}">
              <a16:creationId xmlns:a16="http://schemas.microsoft.com/office/drawing/2014/main" id="{EA5D4E15-5F2B-6F47-8BFE-C0FF129A9D90}"/>
            </a:ext>
          </a:extLst>
        </xdr:cNvPr>
        <xdr:cNvSpPr>
          <a:spLocks noChangeAspect="1" noChangeArrowheads="1"/>
        </xdr:cNvSpPr>
      </xdr:nvSpPr>
      <xdr:spPr bwMode="auto">
        <a:xfrm>
          <a:off x="19558000" y="6324600"/>
          <a:ext cx="2921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22</xdr:col>
      <xdr:colOff>0</xdr:colOff>
      <xdr:row>29</xdr:row>
      <xdr:rowOff>0</xdr:rowOff>
    </xdr:from>
    <xdr:ext cx="292100" cy="152400"/>
    <xdr:sp macro="" textlink="">
      <xdr:nvSpPr>
        <xdr:cNvPr id="210" name="AutoShape 22" descr="United States">
          <a:hlinkClick xmlns:r="http://schemas.openxmlformats.org/officeDocument/2006/relationships" r:id="rId2" tooltip="United States"/>
          <a:extLst>
            <a:ext uri="{FF2B5EF4-FFF2-40B4-BE49-F238E27FC236}">
              <a16:creationId xmlns:a16="http://schemas.microsoft.com/office/drawing/2014/main" id="{DFCA85E6-5D0D-5F44-AF0B-3B995AEF7DCF}"/>
            </a:ext>
          </a:extLst>
        </xdr:cNvPr>
        <xdr:cNvSpPr>
          <a:spLocks noChangeAspect="1" noChangeArrowheads="1"/>
        </xdr:cNvSpPr>
      </xdr:nvSpPr>
      <xdr:spPr bwMode="auto">
        <a:xfrm>
          <a:off x="19558000" y="6553200"/>
          <a:ext cx="2921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22</xdr:col>
      <xdr:colOff>0</xdr:colOff>
      <xdr:row>30</xdr:row>
      <xdr:rowOff>0</xdr:rowOff>
    </xdr:from>
    <xdr:ext cx="292100" cy="152400"/>
    <xdr:sp macro="" textlink="">
      <xdr:nvSpPr>
        <xdr:cNvPr id="211" name="AutoShape 22" descr="United States">
          <a:hlinkClick xmlns:r="http://schemas.openxmlformats.org/officeDocument/2006/relationships" r:id="rId2" tooltip="United States"/>
          <a:extLst>
            <a:ext uri="{FF2B5EF4-FFF2-40B4-BE49-F238E27FC236}">
              <a16:creationId xmlns:a16="http://schemas.microsoft.com/office/drawing/2014/main" id="{11D7A97A-3DC3-734B-8F88-9E5D2AC3BA26}"/>
            </a:ext>
          </a:extLst>
        </xdr:cNvPr>
        <xdr:cNvSpPr>
          <a:spLocks noChangeAspect="1" noChangeArrowheads="1"/>
        </xdr:cNvSpPr>
      </xdr:nvSpPr>
      <xdr:spPr bwMode="auto">
        <a:xfrm>
          <a:off x="19558000" y="6781800"/>
          <a:ext cx="2921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22</xdr:col>
      <xdr:colOff>0</xdr:colOff>
      <xdr:row>31</xdr:row>
      <xdr:rowOff>0</xdr:rowOff>
    </xdr:from>
    <xdr:ext cx="292100" cy="152400"/>
    <xdr:sp macro="" textlink="">
      <xdr:nvSpPr>
        <xdr:cNvPr id="212" name="AutoShape 22" descr="United States">
          <a:hlinkClick xmlns:r="http://schemas.openxmlformats.org/officeDocument/2006/relationships" r:id="rId2" tooltip="United States"/>
          <a:extLst>
            <a:ext uri="{FF2B5EF4-FFF2-40B4-BE49-F238E27FC236}">
              <a16:creationId xmlns:a16="http://schemas.microsoft.com/office/drawing/2014/main" id="{F0EB0908-B48C-B14C-B8A8-A45959DA87C7}"/>
            </a:ext>
          </a:extLst>
        </xdr:cNvPr>
        <xdr:cNvSpPr>
          <a:spLocks noChangeAspect="1" noChangeArrowheads="1"/>
        </xdr:cNvSpPr>
      </xdr:nvSpPr>
      <xdr:spPr bwMode="auto">
        <a:xfrm>
          <a:off x="19558000" y="7010400"/>
          <a:ext cx="2921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22</xdr:col>
      <xdr:colOff>0</xdr:colOff>
      <xdr:row>32</xdr:row>
      <xdr:rowOff>0</xdr:rowOff>
    </xdr:from>
    <xdr:ext cx="292100" cy="152400"/>
    <xdr:sp macro="" textlink="">
      <xdr:nvSpPr>
        <xdr:cNvPr id="213" name="AutoShape 22" descr="United States">
          <a:hlinkClick xmlns:r="http://schemas.openxmlformats.org/officeDocument/2006/relationships" r:id="rId2" tooltip="United States"/>
          <a:extLst>
            <a:ext uri="{FF2B5EF4-FFF2-40B4-BE49-F238E27FC236}">
              <a16:creationId xmlns:a16="http://schemas.microsoft.com/office/drawing/2014/main" id="{E7DBBE1A-813F-8A43-98A0-E1ACED70A47A}"/>
            </a:ext>
          </a:extLst>
        </xdr:cNvPr>
        <xdr:cNvSpPr>
          <a:spLocks noChangeAspect="1" noChangeArrowheads="1"/>
        </xdr:cNvSpPr>
      </xdr:nvSpPr>
      <xdr:spPr bwMode="auto">
        <a:xfrm>
          <a:off x="19558000" y="7239000"/>
          <a:ext cx="2921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22</xdr:col>
      <xdr:colOff>0</xdr:colOff>
      <xdr:row>33</xdr:row>
      <xdr:rowOff>0</xdr:rowOff>
    </xdr:from>
    <xdr:ext cx="292100" cy="152400"/>
    <xdr:sp macro="" textlink="">
      <xdr:nvSpPr>
        <xdr:cNvPr id="214" name="AutoShape 22" descr="United States">
          <a:hlinkClick xmlns:r="http://schemas.openxmlformats.org/officeDocument/2006/relationships" r:id="rId2" tooltip="United States"/>
          <a:extLst>
            <a:ext uri="{FF2B5EF4-FFF2-40B4-BE49-F238E27FC236}">
              <a16:creationId xmlns:a16="http://schemas.microsoft.com/office/drawing/2014/main" id="{9C3CEC0F-F23B-4E45-8DAA-7D0C277283B5}"/>
            </a:ext>
          </a:extLst>
        </xdr:cNvPr>
        <xdr:cNvSpPr>
          <a:spLocks noChangeAspect="1" noChangeArrowheads="1"/>
        </xdr:cNvSpPr>
      </xdr:nvSpPr>
      <xdr:spPr bwMode="auto">
        <a:xfrm>
          <a:off x="19558000" y="7480300"/>
          <a:ext cx="2921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22</xdr:col>
      <xdr:colOff>0</xdr:colOff>
      <xdr:row>34</xdr:row>
      <xdr:rowOff>0</xdr:rowOff>
    </xdr:from>
    <xdr:ext cx="292100" cy="152400"/>
    <xdr:sp macro="" textlink="">
      <xdr:nvSpPr>
        <xdr:cNvPr id="215" name="AutoShape 22" descr="United States">
          <a:hlinkClick xmlns:r="http://schemas.openxmlformats.org/officeDocument/2006/relationships" r:id="rId2" tooltip="United States"/>
          <a:extLst>
            <a:ext uri="{FF2B5EF4-FFF2-40B4-BE49-F238E27FC236}">
              <a16:creationId xmlns:a16="http://schemas.microsoft.com/office/drawing/2014/main" id="{CC3D8326-1A51-1B4D-98F0-98FC8B7A484C}"/>
            </a:ext>
          </a:extLst>
        </xdr:cNvPr>
        <xdr:cNvSpPr>
          <a:spLocks noChangeAspect="1" noChangeArrowheads="1"/>
        </xdr:cNvSpPr>
      </xdr:nvSpPr>
      <xdr:spPr bwMode="auto">
        <a:xfrm>
          <a:off x="19558000" y="7708900"/>
          <a:ext cx="2921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22</xdr:col>
      <xdr:colOff>0</xdr:colOff>
      <xdr:row>35</xdr:row>
      <xdr:rowOff>0</xdr:rowOff>
    </xdr:from>
    <xdr:ext cx="292100" cy="152400"/>
    <xdr:sp macro="" textlink="">
      <xdr:nvSpPr>
        <xdr:cNvPr id="216" name="AutoShape 22" descr="United States">
          <a:hlinkClick xmlns:r="http://schemas.openxmlformats.org/officeDocument/2006/relationships" r:id="rId2" tooltip="United States"/>
          <a:extLst>
            <a:ext uri="{FF2B5EF4-FFF2-40B4-BE49-F238E27FC236}">
              <a16:creationId xmlns:a16="http://schemas.microsoft.com/office/drawing/2014/main" id="{011E6099-BE4E-E949-B9E1-417068509FBF}"/>
            </a:ext>
          </a:extLst>
        </xdr:cNvPr>
        <xdr:cNvSpPr>
          <a:spLocks noChangeAspect="1" noChangeArrowheads="1"/>
        </xdr:cNvSpPr>
      </xdr:nvSpPr>
      <xdr:spPr bwMode="auto">
        <a:xfrm>
          <a:off x="19558000" y="7937500"/>
          <a:ext cx="2921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22</xdr:col>
      <xdr:colOff>0</xdr:colOff>
      <xdr:row>36</xdr:row>
      <xdr:rowOff>0</xdr:rowOff>
    </xdr:from>
    <xdr:ext cx="292100" cy="152400"/>
    <xdr:sp macro="" textlink="">
      <xdr:nvSpPr>
        <xdr:cNvPr id="217" name="AutoShape 22" descr="United States">
          <a:hlinkClick xmlns:r="http://schemas.openxmlformats.org/officeDocument/2006/relationships" r:id="rId2" tooltip="United States"/>
          <a:extLst>
            <a:ext uri="{FF2B5EF4-FFF2-40B4-BE49-F238E27FC236}">
              <a16:creationId xmlns:a16="http://schemas.microsoft.com/office/drawing/2014/main" id="{B0FB95FB-980A-E546-A911-7F2F821650CC}"/>
            </a:ext>
          </a:extLst>
        </xdr:cNvPr>
        <xdr:cNvSpPr>
          <a:spLocks noChangeAspect="1" noChangeArrowheads="1"/>
        </xdr:cNvSpPr>
      </xdr:nvSpPr>
      <xdr:spPr bwMode="auto">
        <a:xfrm>
          <a:off x="19558000" y="8166100"/>
          <a:ext cx="2921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22</xdr:col>
      <xdr:colOff>0</xdr:colOff>
      <xdr:row>37</xdr:row>
      <xdr:rowOff>0</xdr:rowOff>
    </xdr:from>
    <xdr:ext cx="292100" cy="152400"/>
    <xdr:sp macro="" textlink="">
      <xdr:nvSpPr>
        <xdr:cNvPr id="218" name="AutoShape 22" descr="United States">
          <a:hlinkClick xmlns:r="http://schemas.openxmlformats.org/officeDocument/2006/relationships" r:id="rId2" tooltip="United States"/>
          <a:extLst>
            <a:ext uri="{FF2B5EF4-FFF2-40B4-BE49-F238E27FC236}">
              <a16:creationId xmlns:a16="http://schemas.microsoft.com/office/drawing/2014/main" id="{8A6BAFA7-4C31-2D40-80C5-0CF1E27F164D}"/>
            </a:ext>
          </a:extLst>
        </xdr:cNvPr>
        <xdr:cNvSpPr>
          <a:spLocks noChangeAspect="1" noChangeArrowheads="1"/>
        </xdr:cNvSpPr>
      </xdr:nvSpPr>
      <xdr:spPr bwMode="auto">
        <a:xfrm>
          <a:off x="19558000" y="8394700"/>
          <a:ext cx="2921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22</xdr:col>
      <xdr:colOff>0</xdr:colOff>
      <xdr:row>38</xdr:row>
      <xdr:rowOff>0</xdr:rowOff>
    </xdr:from>
    <xdr:ext cx="292100" cy="152400"/>
    <xdr:sp macro="" textlink="">
      <xdr:nvSpPr>
        <xdr:cNvPr id="219" name="AutoShape 22" descr="United States">
          <a:hlinkClick xmlns:r="http://schemas.openxmlformats.org/officeDocument/2006/relationships" r:id="rId2" tooltip="United States"/>
          <a:extLst>
            <a:ext uri="{FF2B5EF4-FFF2-40B4-BE49-F238E27FC236}">
              <a16:creationId xmlns:a16="http://schemas.microsoft.com/office/drawing/2014/main" id="{8FD78708-A1DF-714D-86F4-8E56DC05B974}"/>
            </a:ext>
          </a:extLst>
        </xdr:cNvPr>
        <xdr:cNvSpPr>
          <a:spLocks noChangeAspect="1" noChangeArrowheads="1"/>
        </xdr:cNvSpPr>
      </xdr:nvSpPr>
      <xdr:spPr bwMode="auto">
        <a:xfrm>
          <a:off x="19558000" y="8623300"/>
          <a:ext cx="2921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22</xdr:col>
      <xdr:colOff>0</xdr:colOff>
      <xdr:row>39</xdr:row>
      <xdr:rowOff>0</xdr:rowOff>
    </xdr:from>
    <xdr:ext cx="292100" cy="152400"/>
    <xdr:sp macro="" textlink="">
      <xdr:nvSpPr>
        <xdr:cNvPr id="220" name="AutoShape 22" descr="United States">
          <a:hlinkClick xmlns:r="http://schemas.openxmlformats.org/officeDocument/2006/relationships" r:id="rId2" tooltip="United States"/>
          <a:extLst>
            <a:ext uri="{FF2B5EF4-FFF2-40B4-BE49-F238E27FC236}">
              <a16:creationId xmlns:a16="http://schemas.microsoft.com/office/drawing/2014/main" id="{61429352-CC73-CF47-9ED7-6A9B8A3AF03A}"/>
            </a:ext>
          </a:extLst>
        </xdr:cNvPr>
        <xdr:cNvSpPr>
          <a:spLocks noChangeAspect="1" noChangeArrowheads="1"/>
        </xdr:cNvSpPr>
      </xdr:nvSpPr>
      <xdr:spPr bwMode="auto">
        <a:xfrm>
          <a:off x="19558000" y="8851900"/>
          <a:ext cx="2921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22</xdr:col>
      <xdr:colOff>0</xdr:colOff>
      <xdr:row>40</xdr:row>
      <xdr:rowOff>0</xdr:rowOff>
    </xdr:from>
    <xdr:ext cx="292100" cy="152400"/>
    <xdr:sp macro="" textlink="">
      <xdr:nvSpPr>
        <xdr:cNvPr id="221" name="AutoShape 22" descr="United States">
          <a:hlinkClick xmlns:r="http://schemas.openxmlformats.org/officeDocument/2006/relationships" r:id="rId2" tooltip="United States"/>
          <a:extLst>
            <a:ext uri="{FF2B5EF4-FFF2-40B4-BE49-F238E27FC236}">
              <a16:creationId xmlns:a16="http://schemas.microsoft.com/office/drawing/2014/main" id="{586E7E78-64C3-7441-861B-1234EE349354}"/>
            </a:ext>
          </a:extLst>
        </xdr:cNvPr>
        <xdr:cNvSpPr>
          <a:spLocks noChangeAspect="1" noChangeArrowheads="1"/>
        </xdr:cNvSpPr>
      </xdr:nvSpPr>
      <xdr:spPr bwMode="auto">
        <a:xfrm>
          <a:off x="19558000" y="9080500"/>
          <a:ext cx="2921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22</xdr:col>
      <xdr:colOff>0</xdr:colOff>
      <xdr:row>41</xdr:row>
      <xdr:rowOff>0</xdr:rowOff>
    </xdr:from>
    <xdr:ext cx="292100" cy="152400"/>
    <xdr:sp macro="" textlink="">
      <xdr:nvSpPr>
        <xdr:cNvPr id="222" name="AutoShape 22" descr="United States">
          <a:hlinkClick xmlns:r="http://schemas.openxmlformats.org/officeDocument/2006/relationships" r:id="rId2" tooltip="United States"/>
          <a:extLst>
            <a:ext uri="{FF2B5EF4-FFF2-40B4-BE49-F238E27FC236}">
              <a16:creationId xmlns:a16="http://schemas.microsoft.com/office/drawing/2014/main" id="{0914AB89-CFE4-4142-B2BF-1656A6206422}"/>
            </a:ext>
          </a:extLst>
        </xdr:cNvPr>
        <xdr:cNvSpPr>
          <a:spLocks noChangeAspect="1" noChangeArrowheads="1"/>
        </xdr:cNvSpPr>
      </xdr:nvSpPr>
      <xdr:spPr bwMode="auto">
        <a:xfrm>
          <a:off x="19558000" y="9309100"/>
          <a:ext cx="2921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22</xdr:col>
      <xdr:colOff>0</xdr:colOff>
      <xdr:row>42</xdr:row>
      <xdr:rowOff>0</xdr:rowOff>
    </xdr:from>
    <xdr:ext cx="292100" cy="152400"/>
    <xdr:sp macro="" textlink="">
      <xdr:nvSpPr>
        <xdr:cNvPr id="223" name="AutoShape 22" descr="United States">
          <a:hlinkClick xmlns:r="http://schemas.openxmlformats.org/officeDocument/2006/relationships" r:id="rId2" tooltip="United States"/>
          <a:extLst>
            <a:ext uri="{FF2B5EF4-FFF2-40B4-BE49-F238E27FC236}">
              <a16:creationId xmlns:a16="http://schemas.microsoft.com/office/drawing/2014/main" id="{DB0DE323-789E-F145-BDEA-271A2F5BDFEB}"/>
            </a:ext>
          </a:extLst>
        </xdr:cNvPr>
        <xdr:cNvSpPr>
          <a:spLocks noChangeAspect="1" noChangeArrowheads="1"/>
        </xdr:cNvSpPr>
      </xdr:nvSpPr>
      <xdr:spPr bwMode="auto">
        <a:xfrm>
          <a:off x="19558000" y="9537700"/>
          <a:ext cx="2921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22</xdr:col>
      <xdr:colOff>0</xdr:colOff>
      <xdr:row>43</xdr:row>
      <xdr:rowOff>0</xdr:rowOff>
    </xdr:from>
    <xdr:ext cx="292100" cy="152400"/>
    <xdr:sp macro="" textlink="">
      <xdr:nvSpPr>
        <xdr:cNvPr id="224" name="AutoShape 22" descr="United States">
          <a:hlinkClick xmlns:r="http://schemas.openxmlformats.org/officeDocument/2006/relationships" r:id="rId2" tooltip="United States"/>
          <a:extLst>
            <a:ext uri="{FF2B5EF4-FFF2-40B4-BE49-F238E27FC236}">
              <a16:creationId xmlns:a16="http://schemas.microsoft.com/office/drawing/2014/main" id="{946AF1BD-A657-7B48-A5BF-F170A806BD29}"/>
            </a:ext>
          </a:extLst>
        </xdr:cNvPr>
        <xdr:cNvSpPr>
          <a:spLocks noChangeAspect="1" noChangeArrowheads="1"/>
        </xdr:cNvSpPr>
      </xdr:nvSpPr>
      <xdr:spPr bwMode="auto">
        <a:xfrm>
          <a:off x="19558000" y="9766300"/>
          <a:ext cx="2921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22</xdr:col>
      <xdr:colOff>0</xdr:colOff>
      <xdr:row>44</xdr:row>
      <xdr:rowOff>0</xdr:rowOff>
    </xdr:from>
    <xdr:ext cx="292100" cy="152400"/>
    <xdr:sp macro="" textlink="">
      <xdr:nvSpPr>
        <xdr:cNvPr id="225" name="AutoShape 22" descr="United States">
          <a:hlinkClick xmlns:r="http://schemas.openxmlformats.org/officeDocument/2006/relationships" r:id="rId2" tooltip="United States"/>
          <a:extLst>
            <a:ext uri="{FF2B5EF4-FFF2-40B4-BE49-F238E27FC236}">
              <a16:creationId xmlns:a16="http://schemas.microsoft.com/office/drawing/2014/main" id="{1F4B3B38-10BA-354D-A246-0722A057684B}"/>
            </a:ext>
          </a:extLst>
        </xdr:cNvPr>
        <xdr:cNvSpPr>
          <a:spLocks noChangeAspect="1" noChangeArrowheads="1"/>
        </xdr:cNvSpPr>
      </xdr:nvSpPr>
      <xdr:spPr bwMode="auto">
        <a:xfrm>
          <a:off x="19558000" y="9994900"/>
          <a:ext cx="2921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22</xdr:col>
      <xdr:colOff>0</xdr:colOff>
      <xdr:row>45</xdr:row>
      <xdr:rowOff>0</xdr:rowOff>
    </xdr:from>
    <xdr:ext cx="292100" cy="152400"/>
    <xdr:sp macro="" textlink="">
      <xdr:nvSpPr>
        <xdr:cNvPr id="226" name="AutoShape 22" descr="United States">
          <a:hlinkClick xmlns:r="http://schemas.openxmlformats.org/officeDocument/2006/relationships" r:id="rId2" tooltip="United States"/>
          <a:extLst>
            <a:ext uri="{FF2B5EF4-FFF2-40B4-BE49-F238E27FC236}">
              <a16:creationId xmlns:a16="http://schemas.microsoft.com/office/drawing/2014/main" id="{770CE7D5-D388-A043-8997-ACAA73F99A14}"/>
            </a:ext>
          </a:extLst>
        </xdr:cNvPr>
        <xdr:cNvSpPr>
          <a:spLocks noChangeAspect="1" noChangeArrowheads="1"/>
        </xdr:cNvSpPr>
      </xdr:nvSpPr>
      <xdr:spPr bwMode="auto">
        <a:xfrm>
          <a:off x="19558000" y="10223500"/>
          <a:ext cx="2921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22</xdr:col>
      <xdr:colOff>0</xdr:colOff>
      <xdr:row>46</xdr:row>
      <xdr:rowOff>0</xdr:rowOff>
    </xdr:from>
    <xdr:ext cx="292100" cy="152400"/>
    <xdr:sp macro="" textlink="">
      <xdr:nvSpPr>
        <xdr:cNvPr id="227" name="AutoShape 22" descr="United States">
          <a:hlinkClick xmlns:r="http://schemas.openxmlformats.org/officeDocument/2006/relationships" r:id="rId2" tooltip="United States"/>
          <a:extLst>
            <a:ext uri="{FF2B5EF4-FFF2-40B4-BE49-F238E27FC236}">
              <a16:creationId xmlns:a16="http://schemas.microsoft.com/office/drawing/2014/main" id="{AD65D4BF-1542-FA4C-8A67-3812EF0F4FFB}"/>
            </a:ext>
          </a:extLst>
        </xdr:cNvPr>
        <xdr:cNvSpPr>
          <a:spLocks noChangeAspect="1" noChangeArrowheads="1"/>
        </xdr:cNvSpPr>
      </xdr:nvSpPr>
      <xdr:spPr bwMode="auto">
        <a:xfrm>
          <a:off x="19558000" y="10452100"/>
          <a:ext cx="2921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22</xdr:col>
      <xdr:colOff>0</xdr:colOff>
      <xdr:row>47</xdr:row>
      <xdr:rowOff>0</xdr:rowOff>
    </xdr:from>
    <xdr:ext cx="292100" cy="152400"/>
    <xdr:sp macro="" textlink="">
      <xdr:nvSpPr>
        <xdr:cNvPr id="228" name="AutoShape 22" descr="United States">
          <a:hlinkClick xmlns:r="http://schemas.openxmlformats.org/officeDocument/2006/relationships" r:id="rId2" tooltip="United States"/>
          <a:extLst>
            <a:ext uri="{FF2B5EF4-FFF2-40B4-BE49-F238E27FC236}">
              <a16:creationId xmlns:a16="http://schemas.microsoft.com/office/drawing/2014/main" id="{6101DE27-A937-C84E-B9F3-8E68E48C2A58}"/>
            </a:ext>
          </a:extLst>
        </xdr:cNvPr>
        <xdr:cNvSpPr>
          <a:spLocks noChangeAspect="1" noChangeArrowheads="1"/>
        </xdr:cNvSpPr>
      </xdr:nvSpPr>
      <xdr:spPr bwMode="auto">
        <a:xfrm>
          <a:off x="19558000" y="10680700"/>
          <a:ext cx="2921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20</xdr:col>
      <xdr:colOff>0</xdr:colOff>
      <xdr:row>28</xdr:row>
      <xdr:rowOff>0</xdr:rowOff>
    </xdr:from>
    <xdr:ext cx="292100" cy="165100"/>
    <xdr:sp macro="" textlink="">
      <xdr:nvSpPr>
        <xdr:cNvPr id="229" name="AutoShape 20" descr="Mexico">
          <a:hlinkClick xmlns:r="http://schemas.openxmlformats.org/officeDocument/2006/relationships" r:id="rId14" tooltip="Mexico"/>
          <a:extLst>
            <a:ext uri="{FF2B5EF4-FFF2-40B4-BE49-F238E27FC236}">
              <a16:creationId xmlns:a16="http://schemas.microsoft.com/office/drawing/2014/main" id="{FD3D7D20-D1D3-1047-AB77-0A5FEE71AA3F}"/>
            </a:ext>
          </a:extLst>
        </xdr:cNvPr>
        <xdr:cNvSpPr>
          <a:spLocks noChangeAspect="1" noChangeArrowheads="1"/>
        </xdr:cNvSpPr>
      </xdr:nvSpPr>
      <xdr:spPr bwMode="auto">
        <a:xfrm>
          <a:off x="17907000" y="6324600"/>
          <a:ext cx="292100" cy="165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20</xdr:col>
      <xdr:colOff>0</xdr:colOff>
      <xdr:row>29</xdr:row>
      <xdr:rowOff>0</xdr:rowOff>
    </xdr:from>
    <xdr:ext cx="292100" cy="165100"/>
    <xdr:sp macro="" textlink="">
      <xdr:nvSpPr>
        <xdr:cNvPr id="230" name="AutoShape 20" descr="Mexico">
          <a:hlinkClick xmlns:r="http://schemas.openxmlformats.org/officeDocument/2006/relationships" r:id="rId14" tooltip="Mexico"/>
          <a:extLst>
            <a:ext uri="{FF2B5EF4-FFF2-40B4-BE49-F238E27FC236}">
              <a16:creationId xmlns:a16="http://schemas.microsoft.com/office/drawing/2014/main" id="{AD1617BB-3F21-8B41-920B-D8E21651D622}"/>
            </a:ext>
          </a:extLst>
        </xdr:cNvPr>
        <xdr:cNvSpPr>
          <a:spLocks noChangeAspect="1" noChangeArrowheads="1"/>
        </xdr:cNvSpPr>
      </xdr:nvSpPr>
      <xdr:spPr bwMode="auto">
        <a:xfrm>
          <a:off x="17907000" y="6553200"/>
          <a:ext cx="292100" cy="165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20</xdr:col>
      <xdr:colOff>0</xdr:colOff>
      <xdr:row>30</xdr:row>
      <xdr:rowOff>0</xdr:rowOff>
    </xdr:from>
    <xdr:ext cx="292100" cy="165100"/>
    <xdr:sp macro="" textlink="">
      <xdr:nvSpPr>
        <xdr:cNvPr id="231" name="AutoShape 20" descr="Mexico">
          <a:hlinkClick xmlns:r="http://schemas.openxmlformats.org/officeDocument/2006/relationships" r:id="rId14" tooltip="Mexico"/>
          <a:extLst>
            <a:ext uri="{FF2B5EF4-FFF2-40B4-BE49-F238E27FC236}">
              <a16:creationId xmlns:a16="http://schemas.microsoft.com/office/drawing/2014/main" id="{34D78FA0-AE0B-354B-9BC9-A812EC4769E0}"/>
            </a:ext>
          </a:extLst>
        </xdr:cNvPr>
        <xdr:cNvSpPr>
          <a:spLocks noChangeAspect="1" noChangeArrowheads="1"/>
        </xdr:cNvSpPr>
      </xdr:nvSpPr>
      <xdr:spPr bwMode="auto">
        <a:xfrm>
          <a:off x="17907000" y="6781800"/>
          <a:ext cx="292100" cy="165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20</xdr:col>
      <xdr:colOff>0</xdr:colOff>
      <xdr:row>31</xdr:row>
      <xdr:rowOff>0</xdr:rowOff>
    </xdr:from>
    <xdr:ext cx="292100" cy="165100"/>
    <xdr:sp macro="" textlink="">
      <xdr:nvSpPr>
        <xdr:cNvPr id="232" name="AutoShape 20" descr="Mexico">
          <a:hlinkClick xmlns:r="http://schemas.openxmlformats.org/officeDocument/2006/relationships" r:id="rId14" tooltip="Mexico"/>
          <a:extLst>
            <a:ext uri="{FF2B5EF4-FFF2-40B4-BE49-F238E27FC236}">
              <a16:creationId xmlns:a16="http://schemas.microsoft.com/office/drawing/2014/main" id="{8E321BF8-12C5-AB4F-9E50-D3416587B36F}"/>
            </a:ext>
          </a:extLst>
        </xdr:cNvPr>
        <xdr:cNvSpPr>
          <a:spLocks noChangeAspect="1" noChangeArrowheads="1"/>
        </xdr:cNvSpPr>
      </xdr:nvSpPr>
      <xdr:spPr bwMode="auto">
        <a:xfrm>
          <a:off x="17907000" y="7010400"/>
          <a:ext cx="292100" cy="165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20</xdr:col>
      <xdr:colOff>0</xdr:colOff>
      <xdr:row>32</xdr:row>
      <xdr:rowOff>0</xdr:rowOff>
    </xdr:from>
    <xdr:ext cx="292100" cy="165100"/>
    <xdr:sp macro="" textlink="">
      <xdr:nvSpPr>
        <xdr:cNvPr id="233" name="AutoShape 20" descr="Mexico">
          <a:hlinkClick xmlns:r="http://schemas.openxmlformats.org/officeDocument/2006/relationships" r:id="rId14" tooltip="Mexico"/>
          <a:extLst>
            <a:ext uri="{FF2B5EF4-FFF2-40B4-BE49-F238E27FC236}">
              <a16:creationId xmlns:a16="http://schemas.microsoft.com/office/drawing/2014/main" id="{1E7F04A7-BB9C-AD48-9C54-C5D3417A364B}"/>
            </a:ext>
          </a:extLst>
        </xdr:cNvPr>
        <xdr:cNvSpPr>
          <a:spLocks noChangeAspect="1" noChangeArrowheads="1"/>
        </xdr:cNvSpPr>
      </xdr:nvSpPr>
      <xdr:spPr bwMode="auto">
        <a:xfrm>
          <a:off x="17907000" y="7239000"/>
          <a:ext cx="292100" cy="165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20</xdr:col>
      <xdr:colOff>0</xdr:colOff>
      <xdr:row>33</xdr:row>
      <xdr:rowOff>0</xdr:rowOff>
    </xdr:from>
    <xdr:ext cx="292100" cy="165100"/>
    <xdr:sp macro="" textlink="">
      <xdr:nvSpPr>
        <xdr:cNvPr id="234" name="AutoShape 20" descr="Mexico">
          <a:hlinkClick xmlns:r="http://schemas.openxmlformats.org/officeDocument/2006/relationships" r:id="rId14" tooltip="Mexico"/>
          <a:extLst>
            <a:ext uri="{FF2B5EF4-FFF2-40B4-BE49-F238E27FC236}">
              <a16:creationId xmlns:a16="http://schemas.microsoft.com/office/drawing/2014/main" id="{9C9A437F-7220-0E4B-8DA9-9E6874113634}"/>
            </a:ext>
          </a:extLst>
        </xdr:cNvPr>
        <xdr:cNvSpPr>
          <a:spLocks noChangeAspect="1" noChangeArrowheads="1"/>
        </xdr:cNvSpPr>
      </xdr:nvSpPr>
      <xdr:spPr bwMode="auto">
        <a:xfrm>
          <a:off x="17907000" y="7480300"/>
          <a:ext cx="292100" cy="165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20</xdr:col>
      <xdr:colOff>0</xdr:colOff>
      <xdr:row>34</xdr:row>
      <xdr:rowOff>0</xdr:rowOff>
    </xdr:from>
    <xdr:ext cx="292100" cy="165100"/>
    <xdr:sp macro="" textlink="">
      <xdr:nvSpPr>
        <xdr:cNvPr id="235" name="AutoShape 20" descr="Mexico">
          <a:hlinkClick xmlns:r="http://schemas.openxmlformats.org/officeDocument/2006/relationships" r:id="rId14" tooltip="Mexico"/>
          <a:extLst>
            <a:ext uri="{FF2B5EF4-FFF2-40B4-BE49-F238E27FC236}">
              <a16:creationId xmlns:a16="http://schemas.microsoft.com/office/drawing/2014/main" id="{5B50640A-EC95-F148-A9E6-D5B56A6753DC}"/>
            </a:ext>
          </a:extLst>
        </xdr:cNvPr>
        <xdr:cNvSpPr>
          <a:spLocks noChangeAspect="1" noChangeArrowheads="1"/>
        </xdr:cNvSpPr>
      </xdr:nvSpPr>
      <xdr:spPr bwMode="auto">
        <a:xfrm>
          <a:off x="17907000" y="7708900"/>
          <a:ext cx="292100" cy="165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20</xdr:col>
      <xdr:colOff>0</xdr:colOff>
      <xdr:row>35</xdr:row>
      <xdr:rowOff>0</xdr:rowOff>
    </xdr:from>
    <xdr:ext cx="292100" cy="165100"/>
    <xdr:sp macro="" textlink="">
      <xdr:nvSpPr>
        <xdr:cNvPr id="236" name="AutoShape 20" descr="Mexico">
          <a:hlinkClick xmlns:r="http://schemas.openxmlformats.org/officeDocument/2006/relationships" r:id="rId14" tooltip="Mexico"/>
          <a:extLst>
            <a:ext uri="{FF2B5EF4-FFF2-40B4-BE49-F238E27FC236}">
              <a16:creationId xmlns:a16="http://schemas.microsoft.com/office/drawing/2014/main" id="{562DDB65-8D7C-F342-B53D-015BC7DCBF59}"/>
            </a:ext>
          </a:extLst>
        </xdr:cNvPr>
        <xdr:cNvSpPr>
          <a:spLocks noChangeAspect="1" noChangeArrowheads="1"/>
        </xdr:cNvSpPr>
      </xdr:nvSpPr>
      <xdr:spPr bwMode="auto">
        <a:xfrm>
          <a:off x="17907000" y="7937500"/>
          <a:ext cx="292100" cy="165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20</xdr:col>
      <xdr:colOff>0</xdr:colOff>
      <xdr:row>36</xdr:row>
      <xdr:rowOff>0</xdr:rowOff>
    </xdr:from>
    <xdr:ext cx="292100" cy="165100"/>
    <xdr:sp macro="" textlink="">
      <xdr:nvSpPr>
        <xdr:cNvPr id="237" name="AutoShape 20" descr="Mexico">
          <a:hlinkClick xmlns:r="http://schemas.openxmlformats.org/officeDocument/2006/relationships" r:id="rId14" tooltip="Mexico"/>
          <a:extLst>
            <a:ext uri="{FF2B5EF4-FFF2-40B4-BE49-F238E27FC236}">
              <a16:creationId xmlns:a16="http://schemas.microsoft.com/office/drawing/2014/main" id="{901C8FD3-45EA-C046-AC7F-74B91B627CE0}"/>
            </a:ext>
          </a:extLst>
        </xdr:cNvPr>
        <xdr:cNvSpPr>
          <a:spLocks noChangeAspect="1" noChangeArrowheads="1"/>
        </xdr:cNvSpPr>
      </xdr:nvSpPr>
      <xdr:spPr bwMode="auto">
        <a:xfrm>
          <a:off x="17907000" y="8166100"/>
          <a:ext cx="292100" cy="165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20</xdr:col>
      <xdr:colOff>0</xdr:colOff>
      <xdr:row>37</xdr:row>
      <xdr:rowOff>0</xdr:rowOff>
    </xdr:from>
    <xdr:ext cx="292100" cy="165100"/>
    <xdr:sp macro="" textlink="">
      <xdr:nvSpPr>
        <xdr:cNvPr id="238" name="AutoShape 20" descr="Mexico">
          <a:hlinkClick xmlns:r="http://schemas.openxmlformats.org/officeDocument/2006/relationships" r:id="rId14" tooltip="Mexico"/>
          <a:extLst>
            <a:ext uri="{FF2B5EF4-FFF2-40B4-BE49-F238E27FC236}">
              <a16:creationId xmlns:a16="http://schemas.microsoft.com/office/drawing/2014/main" id="{BD60C9E9-0FF0-E044-B48D-F715FCA560EF}"/>
            </a:ext>
          </a:extLst>
        </xdr:cNvPr>
        <xdr:cNvSpPr>
          <a:spLocks noChangeAspect="1" noChangeArrowheads="1"/>
        </xdr:cNvSpPr>
      </xdr:nvSpPr>
      <xdr:spPr bwMode="auto">
        <a:xfrm>
          <a:off x="17907000" y="8394700"/>
          <a:ext cx="292100" cy="165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20</xdr:col>
      <xdr:colOff>0</xdr:colOff>
      <xdr:row>38</xdr:row>
      <xdr:rowOff>0</xdr:rowOff>
    </xdr:from>
    <xdr:ext cx="292100" cy="165100"/>
    <xdr:sp macro="" textlink="">
      <xdr:nvSpPr>
        <xdr:cNvPr id="239" name="AutoShape 20" descr="Mexico">
          <a:hlinkClick xmlns:r="http://schemas.openxmlformats.org/officeDocument/2006/relationships" r:id="rId14" tooltip="Mexico"/>
          <a:extLst>
            <a:ext uri="{FF2B5EF4-FFF2-40B4-BE49-F238E27FC236}">
              <a16:creationId xmlns:a16="http://schemas.microsoft.com/office/drawing/2014/main" id="{3BE83108-8861-6B44-A831-493E686AC033}"/>
            </a:ext>
          </a:extLst>
        </xdr:cNvPr>
        <xdr:cNvSpPr>
          <a:spLocks noChangeAspect="1" noChangeArrowheads="1"/>
        </xdr:cNvSpPr>
      </xdr:nvSpPr>
      <xdr:spPr bwMode="auto">
        <a:xfrm>
          <a:off x="17907000" y="8623300"/>
          <a:ext cx="292100" cy="165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20</xdr:col>
      <xdr:colOff>0</xdr:colOff>
      <xdr:row>39</xdr:row>
      <xdr:rowOff>0</xdr:rowOff>
    </xdr:from>
    <xdr:ext cx="292100" cy="165100"/>
    <xdr:sp macro="" textlink="">
      <xdr:nvSpPr>
        <xdr:cNvPr id="240" name="AutoShape 20" descr="Mexico">
          <a:hlinkClick xmlns:r="http://schemas.openxmlformats.org/officeDocument/2006/relationships" r:id="rId14" tooltip="Mexico"/>
          <a:extLst>
            <a:ext uri="{FF2B5EF4-FFF2-40B4-BE49-F238E27FC236}">
              <a16:creationId xmlns:a16="http://schemas.microsoft.com/office/drawing/2014/main" id="{BC68A52F-CA3E-CB4C-A8B0-745FAF23D657}"/>
            </a:ext>
          </a:extLst>
        </xdr:cNvPr>
        <xdr:cNvSpPr>
          <a:spLocks noChangeAspect="1" noChangeArrowheads="1"/>
        </xdr:cNvSpPr>
      </xdr:nvSpPr>
      <xdr:spPr bwMode="auto">
        <a:xfrm>
          <a:off x="17907000" y="8851900"/>
          <a:ext cx="292100" cy="165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20</xdr:col>
      <xdr:colOff>0</xdr:colOff>
      <xdr:row>40</xdr:row>
      <xdr:rowOff>0</xdr:rowOff>
    </xdr:from>
    <xdr:ext cx="292100" cy="165100"/>
    <xdr:sp macro="" textlink="">
      <xdr:nvSpPr>
        <xdr:cNvPr id="241" name="AutoShape 20" descr="Mexico">
          <a:hlinkClick xmlns:r="http://schemas.openxmlformats.org/officeDocument/2006/relationships" r:id="rId14" tooltip="Mexico"/>
          <a:extLst>
            <a:ext uri="{FF2B5EF4-FFF2-40B4-BE49-F238E27FC236}">
              <a16:creationId xmlns:a16="http://schemas.microsoft.com/office/drawing/2014/main" id="{201DE5AB-842F-1F4D-967B-E6285CCFE48C}"/>
            </a:ext>
          </a:extLst>
        </xdr:cNvPr>
        <xdr:cNvSpPr>
          <a:spLocks noChangeAspect="1" noChangeArrowheads="1"/>
        </xdr:cNvSpPr>
      </xdr:nvSpPr>
      <xdr:spPr bwMode="auto">
        <a:xfrm>
          <a:off x="17907000" y="9080500"/>
          <a:ext cx="292100" cy="165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20</xdr:col>
      <xdr:colOff>0</xdr:colOff>
      <xdr:row>41</xdr:row>
      <xdr:rowOff>0</xdr:rowOff>
    </xdr:from>
    <xdr:ext cx="292100" cy="165100"/>
    <xdr:sp macro="" textlink="">
      <xdr:nvSpPr>
        <xdr:cNvPr id="242" name="AutoShape 20" descr="Mexico">
          <a:hlinkClick xmlns:r="http://schemas.openxmlformats.org/officeDocument/2006/relationships" r:id="rId14" tooltip="Mexico"/>
          <a:extLst>
            <a:ext uri="{FF2B5EF4-FFF2-40B4-BE49-F238E27FC236}">
              <a16:creationId xmlns:a16="http://schemas.microsoft.com/office/drawing/2014/main" id="{839F4ECA-9BCE-214B-B038-B26786D5CA81}"/>
            </a:ext>
          </a:extLst>
        </xdr:cNvPr>
        <xdr:cNvSpPr>
          <a:spLocks noChangeAspect="1" noChangeArrowheads="1"/>
        </xdr:cNvSpPr>
      </xdr:nvSpPr>
      <xdr:spPr bwMode="auto">
        <a:xfrm>
          <a:off x="17907000" y="9309100"/>
          <a:ext cx="292100" cy="165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20</xdr:col>
      <xdr:colOff>0</xdr:colOff>
      <xdr:row>42</xdr:row>
      <xdr:rowOff>0</xdr:rowOff>
    </xdr:from>
    <xdr:ext cx="292100" cy="165100"/>
    <xdr:sp macro="" textlink="">
      <xdr:nvSpPr>
        <xdr:cNvPr id="243" name="AutoShape 20" descr="Mexico">
          <a:hlinkClick xmlns:r="http://schemas.openxmlformats.org/officeDocument/2006/relationships" r:id="rId14" tooltip="Mexico"/>
          <a:extLst>
            <a:ext uri="{FF2B5EF4-FFF2-40B4-BE49-F238E27FC236}">
              <a16:creationId xmlns:a16="http://schemas.microsoft.com/office/drawing/2014/main" id="{2AD9272A-4761-CE4F-B10A-42C5DF4FA80D}"/>
            </a:ext>
          </a:extLst>
        </xdr:cNvPr>
        <xdr:cNvSpPr>
          <a:spLocks noChangeAspect="1" noChangeArrowheads="1"/>
        </xdr:cNvSpPr>
      </xdr:nvSpPr>
      <xdr:spPr bwMode="auto">
        <a:xfrm>
          <a:off x="17907000" y="9537700"/>
          <a:ext cx="292100" cy="165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20</xdr:col>
      <xdr:colOff>0</xdr:colOff>
      <xdr:row>43</xdr:row>
      <xdr:rowOff>0</xdr:rowOff>
    </xdr:from>
    <xdr:ext cx="292100" cy="165100"/>
    <xdr:sp macro="" textlink="">
      <xdr:nvSpPr>
        <xdr:cNvPr id="244" name="AutoShape 20" descr="Mexico">
          <a:hlinkClick xmlns:r="http://schemas.openxmlformats.org/officeDocument/2006/relationships" r:id="rId14" tooltip="Mexico"/>
          <a:extLst>
            <a:ext uri="{FF2B5EF4-FFF2-40B4-BE49-F238E27FC236}">
              <a16:creationId xmlns:a16="http://schemas.microsoft.com/office/drawing/2014/main" id="{77EE496D-2DFD-CE42-8ACE-5A4715F5E046}"/>
            </a:ext>
          </a:extLst>
        </xdr:cNvPr>
        <xdr:cNvSpPr>
          <a:spLocks noChangeAspect="1" noChangeArrowheads="1"/>
        </xdr:cNvSpPr>
      </xdr:nvSpPr>
      <xdr:spPr bwMode="auto">
        <a:xfrm>
          <a:off x="17907000" y="9766300"/>
          <a:ext cx="292100" cy="165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20</xdr:col>
      <xdr:colOff>0</xdr:colOff>
      <xdr:row>44</xdr:row>
      <xdr:rowOff>0</xdr:rowOff>
    </xdr:from>
    <xdr:ext cx="292100" cy="165100"/>
    <xdr:sp macro="" textlink="">
      <xdr:nvSpPr>
        <xdr:cNvPr id="245" name="AutoShape 20" descr="Mexico">
          <a:hlinkClick xmlns:r="http://schemas.openxmlformats.org/officeDocument/2006/relationships" r:id="rId14" tooltip="Mexico"/>
          <a:extLst>
            <a:ext uri="{FF2B5EF4-FFF2-40B4-BE49-F238E27FC236}">
              <a16:creationId xmlns:a16="http://schemas.microsoft.com/office/drawing/2014/main" id="{13E83365-28DE-3B4B-9B6B-07B2A4E075EF}"/>
            </a:ext>
          </a:extLst>
        </xdr:cNvPr>
        <xdr:cNvSpPr>
          <a:spLocks noChangeAspect="1" noChangeArrowheads="1"/>
        </xdr:cNvSpPr>
      </xdr:nvSpPr>
      <xdr:spPr bwMode="auto">
        <a:xfrm>
          <a:off x="17907000" y="9994900"/>
          <a:ext cx="292100" cy="165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20</xdr:col>
      <xdr:colOff>0</xdr:colOff>
      <xdr:row>45</xdr:row>
      <xdr:rowOff>0</xdr:rowOff>
    </xdr:from>
    <xdr:ext cx="292100" cy="165100"/>
    <xdr:sp macro="" textlink="">
      <xdr:nvSpPr>
        <xdr:cNvPr id="246" name="AutoShape 20" descr="Mexico">
          <a:hlinkClick xmlns:r="http://schemas.openxmlformats.org/officeDocument/2006/relationships" r:id="rId14" tooltip="Mexico"/>
          <a:extLst>
            <a:ext uri="{FF2B5EF4-FFF2-40B4-BE49-F238E27FC236}">
              <a16:creationId xmlns:a16="http://schemas.microsoft.com/office/drawing/2014/main" id="{0273AABE-1535-3D47-AD43-999B6148B550}"/>
            </a:ext>
          </a:extLst>
        </xdr:cNvPr>
        <xdr:cNvSpPr>
          <a:spLocks noChangeAspect="1" noChangeArrowheads="1"/>
        </xdr:cNvSpPr>
      </xdr:nvSpPr>
      <xdr:spPr bwMode="auto">
        <a:xfrm>
          <a:off x="17907000" y="10223500"/>
          <a:ext cx="292100" cy="165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20</xdr:col>
      <xdr:colOff>0</xdr:colOff>
      <xdr:row>46</xdr:row>
      <xdr:rowOff>0</xdr:rowOff>
    </xdr:from>
    <xdr:ext cx="292100" cy="165100"/>
    <xdr:sp macro="" textlink="">
      <xdr:nvSpPr>
        <xdr:cNvPr id="247" name="AutoShape 20" descr="Mexico">
          <a:hlinkClick xmlns:r="http://schemas.openxmlformats.org/officeDocument/2006/relationships" r:id="rId14" tooltip="Mexico"/>
          <a:extLst>
            <a:ext uri="{FF2B5EF4-FFF2-40B4-BE49-F238E27FC236}">
              <a16:creationId xmlns:a16="http://schemas.microsoft.com/office/drawing/2014/main" id="{500AE46E-99D5-2A43-9AF8-DE310310EFEA}"/>
            </a:ext>
          </a:extLst>
        </xdr:cNvPr>
        <xdr:cNvSpPr>
          <a:spLocks noChangeAspect="1" noChangeArrowheads="1"/>
        </xdr:cNvSpPr>
      </xdr:nvSpPr>
      <xdr:spPr bwMode="auto">
        <a:xfrm>
          <a:off x="17907000" y="10452100"/>
          <a:ext cx="292100" cy="165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20</xdr:col>
      <xdr:colOff>0</xdr:colOff>
      <xdr:row>47</xdr:row>
      <xdr:rowOff>0</xdr:rowOff>
    </xdr:from>
    <xdr:ext cx="292100" cy="165100"/>
    <xdr:sp macro="" textlink="">
      <xdr:nvSpPr>
        <xdr:cNvPr id="248" name="AutoShape 20" descr="Mexico">
          <a:hlinkClick xmlns:r="http://schemas.openxmlformats.org/officeDocument/2006/relationships" r:id="rId14" tooltip="Mexico"/>
          <a:extLst>
            <a:ext uri="{FF2B5EF4-FFF2-40B4-BE49-F238E27FC236}">
              <a16:creationId xmlns:a16="http://schemas.microsoft.com/office/drawing/2014/main" id="{2F312A9A-CE4F-D141-B14C-625C0DF5F735}"/>
            </a:ext>
          </a:extLst>
        </xdr:cNvPr>
        <xdr:cNvSpPr>
          <a:spLocks noChangeAspect="1" noChangeArrowheads="1"/>
        </xdr:cNvSpPr>
      </xdr:nvSpPr>
      <xdr:spPr bwMode="auto">
        <a:xfrm>
          <a:off x="17907000" y="10680700"/>
          <a:ext cx="292100" cy="165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xdr:row>
      <xdr:rowOff>0</xdr:rowOff>
    </xdr:from>
    <xdr:ext cx="292100" cy="152400"/>
    <xdr:sp macro="" textlink="">
      <xdr:nvSpPr>
        <xdr:cNvPr id="249" name="AutoShape 25" descr="United Kingdom">
          <a:hlinkClick xmlns:r="http://schemas.openxmlformats.org/officeDocument/2006/relationships" r:id="rId8" tooltip="United Kingdom"/>
          <a:extLst>
            <a:ext uri="{FF2B5EF4-FFF2-40B4-BE49-F238E27FC236}">
              <a16:creationId xmlns:a16="http://schemas.microsoft.com/office/drawing/2014/main" id="{D6303F10-57FE-F749-AD32-DC2385E5877A}"/>
            </a:ext>
          </a:extLst>
        </xdr:cNvPr>
        <xdr:cNvSpPr>
          <a:spLocks noChangeAspect="1" noChangeArrowheads="1"/>
        </xdr:cNvSpPr>
      </xdr:nvSpPr>
      <xdr:spPr bwMode="auto">
        <a:xfrm>
          <a:off x="0" y="6198532"/>
          <a:ext cx="2921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f1fantasytools.com/league-analyzer" TargetMode="External"/><Relationship Id="rId13" Type="http://schemas.openxmlformats.org/officeDocument/2006/relationships/hyperlink" Target="https://f1fantasytools.com/legal" TargetMode="External"/><Relationship Id="rId3" Type="http://schemas.openxmlformats.org/officeDocument/2006/relationships/hyperlink" Target="https://f1fantasytools.com/live" TargetMode="External"/><Relationship Id="rId7" Type="http://schemas.openxmlformats.org/officeDocument/2006/relationships/hyperlink" Target="https://f1fantasytools.com/team-analyzer" TargetMode="External"/><Relationship Id="rId12" Type="http://schemas.openxmlformats.org/officeDocument/2006/relationships/hyperlink" Target="https://f1fantasytools.com/login" TargetMode="External"/><Relationship Id="rId2" Type="http://schemas.openxmlformats.org/officeDocument/2006/relationships/hyperlink" Target="https://f1fantasytools.com/budget-builder" TargetMode="External"/><Relationship Id="rId1" Type="http://schemas.openxmlformats.org/officeDocument/2006/relationships/hyperlink" Target="https://f1fantasytools.com/team-calculator" TargetMode="External"/><Relationship Id="rId6" Type="http://schemas.openxmlformats.org/officeDocument/2006/relationships/hyperlink" Target="https://f1fantasytools.com/statistics" TargetMode="External"/><Relationship Id="rId11" Type="http://schemas.openxmlformats.org/officeDocument/2006/relationships/hyperlink" Target="https://f1fantasytools.com/pricing" TargetMode="External"/><Relationship Id="rId5" Type="http://schemas.openxmlformats.org/officeDocument/2006/relationships/hyperlink" Target="https://f1fantasytools.com/elite-data" TargetMode="External"/><Relationship Id="rId10" Type="http://schemas.openxmlformats.org/officeDocument/2006/relationships/hyperlink" Target="https://f1fantasytools.com/pricing" TargetMode="External"/><Relationship Id="rId4" Type="http://schemas.openxmlformats.org/officeDocument/2006/relationships/hyperlink" Target="https://f1fantasytools.com/season-summary" TargetMode="External"/><Relationship Id="rId9" Type="http://schemas.openxmlformats.org/officeDocument/2006/relationships/hyperlink" Target="https://f1fantasytools.com/hindsight"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f1fantasytools.com/league-analyzer" TargetMode="External"/><Relationship Id="rId13" Type="http://schemas.openxmlformats.org/officeDocument/2006/relationships/hyperlink" Target="https://f1fantasytools.com/legal" TargetMode="External"/><Relationship Id="rId3" Type="http://schemas.openxmlformats.org/officeDocument/2006/relationships/hyperlink" Target="https://f1fantasytools.com/live" TargetMode="External"/><Relationship Id="rId7" Type="http://schemas.openxmlformats.org/officeDocument/2006/relationships/hyperlink" Target="https://f1fantasytools.com/team-analyzer" TargetMode="External"/><Relationship Id="rId12" Type="http://schemas.openxmlformats.org/officeDocument/2006/relationships/hyperlink" Target="https://f1fantasytools.com/login" TargetMode="External"/><Relationship Id="rId2" Type="http://schemas.openxmlformats.org/officeDocument/2006/relationships/hyperlink" Target="https://f1fantasytools.com/budget-builder" TargetMode="External"/><Relationship Id="rId1" Type="http://schemas.openxmlformats.org/officeDocument/2006/relationships/hyperlink" Target="https://f1fantasytools.com/team-calculator" TargetMode="External"/><Relationship Id="rId6" Type="http://schemas.openxmlformats.org/officeDocument/2006/relationships/hyperlink" Target="https://f1fantasytools.com/statistics" TargetMode="External"/><Relationship Id="rId11" Type="http://schemas.openxmlformats.org/officeDocument/2006/relationships/hyperlink" Target="https://f1fantasytools.com/pricing" TargetMode="External"/><Relationship Id="rId5" Type="http://schemas.openxmlformats.org/officeDocument/2006/relationships/hyperlink" Target="https://f1fantasytools.com/elite-data" TargetMode="External"/><Relationship Id="rId10" Type="http://schemas.openxmlformats.org/officeDocument/2006/relationships/hyperlink" Target="https://f1fantasytools.com/pricing" TargetMode="External"/><Relationship Id="rId4" Type="http://schemas.openxmlformats.org/officeDocument/2006/relationships/hyperlink" Target="https://f1fantasytools.com/season-summary" TargetMode="External"/><Relationship Id="rId9" Type="http://schemas.openxmlformats.org/officeDocument/2006/relationships/hyperlink" Target="https://f1fantasytools.com/hindsight"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f1fantasytools.com/league-analyzer" TargetMode="External"/><Relationship Id="rId13" Type="http://schemas.openxmlformats.org/officeDocument/2006/relationships/hyperlink" Target="https://f1fantasytools.com/legal" TargetMode="External"/><Relationship Id="rId3" Type="http://schemas.openxmlformats.org/officeDocument/2006/relationships/hyperlink" Target="https://f1fantasytools.com/live" TargetMode="External"/><Relationship Id="rId7" Type="http://schemas.openxmlformats.org/officeDocument/2006/relationships/hyperlink" Target="https://f1fantasytools.com/team-analyzer" TargetMode="External"/><Relationship Id="rId12" Type="http://schemas.openxmlformats.org/officeDocument/2006/relationships/hyperlink" Target="https://f1fantasytools.com/login" TargetMode="External"/><Relationship Id="rId2" Type="http://schemas.openxmlformats.org/officeDocument/2006/relationships/hyperlink" Target="https://f1fantasytools.com/budget-builder" TargetMode="External"/><Relationship Id="rId1" Type="http://schemas.openxmlformats.org/officeDocument/2006/relationships/hyperlink" Target="https://f1fantasytools.com/team-calculator" TargetMode="External"/><Relationship Id="rId6" Type="http://schemas.openxmlformats.org/officeDocument/2006/relationships/hyperlink" Target="https://f1fantasytools.com/statistics" TargetMode="External"/><Relationship Id="rId11" Type="http://schemas.openxmlformats.org/officeDocument/2006/relationships/hyperlink" Target="https://f1fantasytools.com/pricing" TargetMode="External"/><Relationship Id="rId5" Type="http://schemas.openxmlformats.org/officeDocument/2006/relationships/hyperlink" Target="https://f1fantasytools.com/elite-data" TargetMode="External"/><Relationship Id="rId10" Type="http://schemas.openxmlformats.org/officeDocument/2006/relationships/hyperlink" Target="https://f1fantasytools.com/pricing" TargetMode="External"/><Relationship Id="rId4" Type="http://schemas.openxmlformats.org/officeDocument/2006/relationships/hyperlink" Target="https://f1fantasytools.com/season-summary" TargetMode="External"/><Relationship Id="rId9" Type="http://schemas.openxmlformats.org/officeDocument/2006/relationships/hyperlink" Target="https://f1fantasytools.com/hindsight"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s://f1fantasytools.com/league-analyzer" TargetMode="External"/><Relationship Id="rId13" Type="http://schemas.openxmlformats.org/officeDocument/2006/relationships/hyperlink" Target="https://f1fantasytools.com/team-calculator" TargetMode="External"/><Relationship Id="rId18" Type="http://schemas.openxmlformats.org/officeDocument/2006/relationships/hyperlink" Target="https://f1fantasytools.com/statistics" TargetMode="External"/><Relationship Id="rId3" Type="http://schemas.openxmlformats.org/officeDocument/2006/relationships/hyperlink" Target="https://f1fantasytools.com/live" TargetMode="External"/><Relationship Id="rId21" Type="http://schemas.openxmlformats.org/officeDocument/2006/relationships/hyperlink" Target="https://f1fantasytools.com/hindsight" TargetMode="External"/><Relationship Id="rId7" Type="http://schemas.openxmlformats.org/officeDocument/2006/relationships/hyperlink" Target="https://f1fantasytools.com/team-analyzer" TargetMode="External"/><Relationship Id="rId12" Type="http://schemas.openxmlformats.org/officeDocument/2006/relationships/hyperlink" Target="https://f1fantasytools.com/login" TargetMode="External"/><Relationship Id="rId17" Type="http://schemas.openxmlformats.org/officeDocument/2006/relationships/hyperlink" Target="https://f1fantasytools.com/elite-data" TargetMode="External"/><Relationship Id="rId25" Type="http://schemas.openxmlformats.org/officeDocument/2006/relationships/hyperlink" Target="https://f1fantasytools.com/legal" TargetMode="External"/><Relationship Id="rId2" Type="http://schemas.openxmlformats.org/officeDocument/2006/relationships/hyperlink" Target="https://f1fantasytools.com/budget-builder" TargetMode="External"/><Relationship Id="rId16" Type="http://schemas.openxmlformats.org/officeDocument/2006/relationships/hyperlink" Target="https://f1fantasytools.com/season-summary" TargetMode="External"/><Relationship Id="rId20" Type="http://schemas.openxmlformats.org/officeDocument/2006/relationships/hyperlink" Target="https://f1fantasytools.com/league-analyzer" TargetMode="External"/><Relationship Id="rId1" Type="http://schemas.openxmlformats.org/officeDocument/2006/relationships/hyperlink" Target="https://f1fantasytools.com/team-calculator" TargetMode="External"/><Relationship Id="rId6" Type="http://schemas.openxmlformats.org/officeDocument/2006/relationships/hyperlink" Target="https://f1fantasytools.com/statistics" TargetMode="External"/><Relationship Id="rId11" Type="http://schemas.openxmlformats.org/officeDocument/2006/relationships/hyperlink" Target="https://f1fantasytools.com/pricing" TargetMode="External"/><Relationship Id="rId24" Type="http://schemas.openxmlformats.org/officeDocument/2006/relationships/hyperlink" Target="https://f1fantasytools.com/login" TargetMode="External"/><Relationship Id="rId5" Type="http://schemas.openxmlformats.org/officeDocument/2006/relationships/hyperlink" Target="https://f1fantasytools.com/elite-data" TargetMode="External"/><Relationship Id="rId15" Type="http://schemas.openxmlformats.org/officeDocument/2006/relationships/hyperlink" Target="https://f1fantasytools.com/live" TargetMode="External"/><Relationship Id="rId23" Type="http://schemas.openxmlformats.org/officeDocument/2006/relationships/hyperlink" Target="https://f1fantasytools.com/pricing" TargetMode="External"/><Relationship Id="rId10" Type="http://schemas.openxmlformats.org/officeDocument/2006/relationships/hyperlink" Target="https://f1fantasytools.com/pricing" TargetMode="External"/><Relationship Id="rId19" Type="http://schemas.openxmlformats.org/officeDocument/2006/relationships/hyperlink" Target="https://f1fantasytools.com/team-analyzer" TargetMode="External"/><Relationship Id="rId4" Type="http://schemas.openxmlformats.org/officeDocument/2006/relationships/hyperlink" Target="https://f1fantasytools.com/season-summary" TargetMode="External"/><Relationship Id="rId9" Type="http://schemas.openxmlformats.org/officeDocument/2006/relationships/hyperlink" Target="https://f1fantasytools.com/hindsight" TargetMode="External"/><Relationship Id="rId14" Type="http://schemas.openxmlformats.org/officeDocument/2006/relationships/hyperlink" Target="https://f1fantasytools.com/budget-builder" TargetMode="External"/><Relationship Id="rId22" Type="http://schemas.openxmlformats.org/officeDocument/2006/relationships/hyperlink" Target="https://f1fantasytools.com/pricing" TargetMode="External"/></Relationships>
</file>

<file path=xl/worksheets/_rels/sheet16.xml.rels><?xml version="1.0" encoding="UTF-8" standalone="yes"?>
<Relationships xmlns="http://schemas.openxmlformats.org/package/2006/relationships"><Relationship Id="rId8" Type="http://schemas.openxmlformats.org/officeDocument/2006/relationships/hyperlink" Target="https://f1fantasytools.com/league-analyzer" TargetMode="External"/><Relationship Id="rId13" Type="http://schemas.openxmlformats.org/officeDocument/2006/relationships/hyperlink" Target="https://f1fantasytools.com/legal" TargetMode="External"/><Relationship Id="rId3" Type="http://schemas.openxmlformats.org/officeDocument/2006/relationships/hyperlink" Target="https://f1fantasytools.com/live" TargetMode="External"/><Relationship Id="rId7" Type="http://schemas.openxmlformats.org/officeDocument/2006/relationships/hyperlink" Target="https://f1fantasytools.com/team-analyzer" TargetMode="External"/><Relationship Id="rId12" Type="http://schemas.openxmlformats.org/officeDocument/2006/relationships/hyperlink" Target="https://f1fantasytools.com/login" TargetMode="External"/><Relationship Id="rId2" Type="http://schemas.openxmlformats.org/officeDocument/2006/relationships/hyperlink" Target="https://f1fantasytools.com/budget-builder" TargetMode="External"/><Relationship Id="rId1" Type="http://schemas.openxmlformats.org/officeDocument/2006/relationships/hyperlink" Target="https://f1fantasytools.com/team-calculator" TargetMode="External"/><Relationship Id="rId6" Type="http://schemas.openxmlformats.org/officeDocument/2006/relationships/hyperlink" Target="https://f1fantasytools.com/statistics" TargetMode="External"/><Relationship Id="rId11" Type="http://schemas.openxmlformats.org/officeDocument/2006/relationships/hyperlink" Target="https://f1fantasytools.com/pricing" TargetMode="External"/><Relationship Id="rId5" Type="http://schemas.openxmlformats.org/officeDocument/2006/relationships/hyperlink" Target="https://f1fantasytools.com/elite-data" TargetMode="External"/><Relationship Id="rId10" Type="http://schemas.openxmlformats.org/officeDocument/2006/relationships/hyperlink" Target="https://f1fantasytools.com/pricing" TargetMode="External"/><Relationship Id="rId4" Type="http://schemas.openxmlformats.org/officeDocument/2006/relationships/hyperlink" Target="https://f1fantasytools.com/season-summary" TargetMode="External"/><Relationship Id="rId9" Type="http://schemas.openxmlformats.org/officeDocument/2006/relationships/hyperlink" Target="https://f1fantasytools.com/hindsight" TargetMode="External"/></Relationships>
</file>

<file path=xl/worksheets/_rels/sheet17.xml.rels><?xml version="1.0" encoding="UTF-8" standalone="yes"?>
<Relationships xmlns="http://schemas.openxmlformats.org/package/2006/relationships"><Relationship Id="rId8" Type="http://schemas.openxmlformats.org/officeDocument/2006/relationships/hyperlink" Target="https://f1fantasytools.com/team-analyzer" TargetMode="External"/><Relationship Id="rId13" Type="http://schemas.openxmlformats.org/officeDocument/2006/relationships/hyperlink" Target="https://f1fantasytools.com/login" TargetMode="External"/><Relationship Id="rId18" Type="http://schemas.openxmlformats.org/officeDocument/2006/relationships/hyperlink" Target="https://f1fantasytools.com/live" TargetMode="External"/><Relationship Id="rId26" Type="http://schemas.openxmlformats.org/officeDocument/2006/relationships/drawing" Target="../drawings/drawing1.xml"/><Relationship Id="rId3" Type="http://schemas.openxmlformats.org/officeDocument/2006/relationships/hyperlink" Target="https://f1fantasytools.com/budget-builder" TargetMode="External"/><Relationship Id="rId21" Type="http://schemas.openxmlformats.org/officeDocument/2006/relationships/hyperlink" Target="https://f1fantasytools.com/statistics" TargetMode="External"/><Relationship Id="rId7" Type="http://schemas.openxmlformats.org/officeDocument/2006/relationships/hyperlink" Target="https://f1fantasytools.com/statistics" TargetMode="External"/><Relationship Id="rId12" Type="http://schemas.openxmlformats.org/officeDocument/2006/relationships/hyperlink" Target="https://f1fantasytools.com/pricing" TargetMode="External"/><Relationship Id="rId17" Type="http://schemas.openxmlformats.org/officeDocument/2006/relationships/hyperlink" Target="https://f1fantasytools.com/budget-builder" TargetMode="External"/><Relationship Id="rId25" Type="http://schemas.openxmlformats.org/officeDocument/2006/relationships/hyperlink" Target="https://f1fantasytools.com/legal" TargetMode="External"/><Relationship Id="rId2" Type="http://schemas.openxmlformats.org/officeDocument/2006/relationships/hyperlink" Target="https://f1fantasytools.com/team-calculator" TargetMode="External"/><Relationship Id="rId16" Type="http://schemas.openxmlformats.org/officeDocument/2006/relationships/hyperlink" Target="https://f1fantasytools.com/team-calculator" TargetMode="External"/><Relationship Id="rId20" Type="http://schemas.openxmlformats.org/officeDocument/2006/relationships/hyperlink" Target="https://f1fantasytools.com/elite-data" TargetMode="External"/><Relationship Id="rId1" Type="http://schemas.openxmlformats.org/officeDocument/2006/relationships/hyperlink" Target="https://f1fantasytools.com/" TargetMode="External"/><Relationship Id="rId6" Type="http://schemas.openxmlformats.org/officeDocument/2006/relationships/hyperlink" Target="https://f1fantasytools.com/elite-data" TargetMode="External"/><Relationship Id="rId11" Type="http://schemas.openxmlformats.org/officeDocument/2006/relationships/hyperlink" Target="https://f1fantasytools.com/pricing" TargetMode="External"/><Relationship Id="rId24" Type="http://schemas.openxmlformats.org/officeDocument/2006/relationships/hyperlink" Target="https://f1fantasytools.com/hindsight" TargetMode="External"/><Relationship Id="rId5" Type="http://schemas.openxmlformats.org/officeDocument/2006/relationships/hyperlink" Target="https://f1fantasytools.com/season-summary" TargetMode="External"/><Relationship Id="rId15" Type="http://schemas.openxmlformats.org/officeDocument/2006/relationships/hyperlink" Target="https://f1fantasytools.com/" TargetMode="External"/><Relationship Id="rId23" Type="http://schemas.openxmlformats.org/officeDocument/2006/relationships/hyperlink" Target="https://f1fantasytools.com/league-analyzer" TargetMode="External"/><Relationship Id="rId10" Type="http://schemas.openxmlformats.org/officeDocument/2006/relationships/hyperlink" Target="https://f1fantasytools.com/hindsight" TargetMode="External"/><Relationship Id="rId19" Type="http://schemas.openxmlformats.org/officeDocument/2006/relationships/hyperlink" Target="https://f1fantasytools.com/season-summary" TargetMode="External"/><Relationship Id="rId4" Type="http://schemas.openxmlformats.org/officeDocument/2006/relationships/hyperlink" Target="https://f1fantasytools.com/live" TargetMode="External"/><Relationship Id="rId9" Type="http://schemas.openxmlformats.org/officeDocument/2006/relationships/hyperlink" Target="https://f1fantasytools.com/league-analyzer" TargetMode="External"/><Relationship Id="rId14" Type="http://schemas.openxmlformats.org/officeDocument/2006/relationships/hyperlink" Target="https://f1fantasytools.com/login" TargetMode="External"/><Relationship Id="rId22" Type="http://schemas.openxmlformats.org/officeDocument/2006/relationships/hyperlink" Target="https://f1fantasytools.com/team-analyzer" TargetMode="Externa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sheetPr>
  <dimension ref="A1:X74"/>
  <sheetViews>
    <sheetView topLeftCell="A21" workbookViewId="0">
      <selection activeCell="F47" sqref="F47"/>
    </sheetView>
  </sheetViews>
  <sheetFormatPr baseColWidth="10" defaultRowHeight="16"/>
  <sheetData>
    <row r="1" spans="1:1">
      <c r="A1" s="2" t="s">
        <v>2</v>
      </c>
    </row>
    <row r="2" spans="1:1">
      <c r="A2" s="2" t="s">
        <v>3</v>
      </c>
    </row>
    <row r="3" spans="1:1">
      <c r="A3" s="2" t="s">
        <v>4</v>
      </c>
    </row>
    <row r="4" spans="1:1">
      <c r="A4" s="2" t="s">
        <v>5</v>
      </c>
    </row>
    <row r="5" spans="1:1">
      <c r="A5" s="2" t="s">
        <v>6</v>
      </c>
    </row>
    <row r="6" spans="1:1">
      <c r="A6" s="2" t="s">
        <v>7</v>
      </c>
    </row>
    <row r="7" spans="1:1">
      <c r="A7" s="2" t="s">
        <v>8</v>
      </c>
    </row>
    <row r="8" spans="1:1">
      <c r="A8" s="2" t="s">
        <v>9</v>
      </c>
    </row>
    <row r="9" spans="1:1">
      <c r="A9" s="2" t="s">
        <v>10</v>
      </c>
    </row>
    <row r="10" spans="1:1" ht="18">
      <c r="A10" s="107" t="s">
        <v>11</v>
      </c>
    </row>
    <row r="11" spans="1:1" ht="18">
      <c r="A11" s="108" t="s">
        <v>12</v>
      </c>
    </row>
    <row r="12" spans="1:1">
      <c r="A12" s="2" t="s">
        <v>13</v>
      </c>
    </row>
    <row r="13" spans="1:1">
      <c r="A13" s="2" t="s">
        <v>14</v>
      </c>
    </row>
    <row r="14" spans="1:1">
      <c r="A14" s="2" t="s">
        <v>16</v>
      </c>
    </row>
    <row r="15" spans="1:1" ht="18">
      <c r="A15" s="108" t="s">
        <v>18</v>
      </c>
    </row>
    <row r="17" spans="1:24" ht="23">
      <c r="A17" s="109" t="s">
        <v>7</v>
      </c>
    </row>
    <row r="19" spans="1:24" ht="18">
      <c r="A19" s="107" t="s">
        <v>20</v>
      </c>
    </row>
    <row r="20" spans="1:24" ht="18">
      <c r="A20" s="107" t="s">
        <v>21</v>
      </c>
    </row>
    <row r="22" spans="1:24" ht="18">
      <c r="A22" s="108" t="s">
        <v>117</v>
      </c>
    </row>
    <row r="23" spans="1:24" ht="18">
      <c r="A23" s="108" t="s">
        <v>23</v>
      </c>
    </row>
    <row r="24" spans="1:24" ht="18">
      <c r="A24" s="108" t="s">
        <v>24</v>
      </c>
    </row>
    <row r="25" spans="1:24" ht="18">
      <c r="A25" s="108" t="s">
        <v>25</v>
      </c>
    </row>
    <row r="26" spans="1:24" ht="18">
      <c r="A26" s="107" t="s">
        <v>101</v>
      </c>
    </row>
    <row r="27" spans="1:24" ht="18">
      <c r="A27" s="108" t="s">
        <v>29</v>
      </c>
    </row>
    <row r="28" spans="1:24">
      <c r="A28" s="110"/>
      <c r="B28" s="110"/>
      <c r="C28" s="110"/>
      <c r="D28" s="110"/>
      <c r="E28" s="110"/>
      <c r="F28" s="110"/>
      <c r="G28" s="110"/>
      <c r="H28" s="110"/>
      <c r="I28" s="110"/>
      <c r="J28" s="110"/>
      <c r="K28" s="110"/>
      <c r="L28" s="110"/>
      <c r="M28" s="110"/>
      <c r="N28" s="110"/>
      <c r="O28" s="110"/>
      <c r="P28" s="110"/>
      <c r="Q28" s="110"/>
      <c r="R28" s="110"/>
      <c r="S28" s="110"/>
      <c r="T28" s="110"/>
      <c r="U28" s="110"/>
      <c r="V28" s="110"/>
    </row>
    <row r="29" spans="1:24">
      <c r="A29" s="111" t="s">
        <v>56</v>
      </c>
      <c r="B29" s="111">
        <v>26.9</v>
      </c>
      <c r="C29" s="111">
        <v>27</v>
      </c>
      <c r="D29" s="111">
        <v>27.1</v>
      </c>
      <c r="E29" s="111">
        <v>27.2</v>
      </c>
      <c r="F29" s="111">
        <v>27.3</v>
      </c>
      <c r="G29" s="111">
        <v>27.4</v>
      </c>
      <c r="H29" s="111">
        <v>27.5</v>
      </c>
      <c r="I29" s="111">
        <v>27.6</v>
      </c>
      <c r="J29" s="111">
        <v>27.8</v>
      </c>
      <c r="K29" s="111">
        <v>27.9</v>
      </c>
      <c r="L29" s="111">
        <v>28.1</v>
      </c>
      <c r="M29" s="111">
        <v>28.3</v>
      </c>
      <c r="N29" s="111">
        <v>28.5</v>
      </c>
      <c r="O29" s="111">
        <v>28.6</v>
      </c>
      <c r="P29" s="111">
        <v>28.8</v>
      </c>
      <c r="Q29" s="111">
        <v>28.9</v>
      </c>
      <c r="R29" s="111">
        <v>29.1</v>
      </c>
      <c r="S29" s="111">
        <v>29.3</v>
      </c>
      <c r="T29" s="111">
        <v>29.5</v>
      </c>
      <c r="U29" s="111">
        <v>29.7</v>
      </c>
      <c r="V29" s="111">
        <v>29.9</v>
      </c>
      <c r="W29" s="111">
        <v>30</v>
      </c>
      <c r="X29" s="111">
        <v>28.3</v>
      </c>
    </row>
    <row r="30" spans="1:24">
      <c r="A30" s="111" t="s">
        <v>61</v>
      </c>
      <c r="B30" s="111">
        <v>23.7</v>
      </c>
      <c r="C30" s="111">
        <v>23.7</v>
      </c>
      <c r="D30" s="111">
        <v>23.7</v>
      </c>
      <c r="E30" s="111">
        <v>23.8</v>
      </c>
      <c r="F30" s="111">
        <v>23.8</v>
      </c>
      <c r="G30" s="111">
        <v>23.8</v>
      </c>
      <c r="H30" s="111">
        <v>23.9</v>
      </c>
      <c r="I30" s="111">
        <v>24</v>
      </c>
      <c r="J30" s="111">
        <v>24.3</v>
      </c>
      <c r="K30" s="111">
        <v>24.4</v>
      </c>
      <c r="L30" s="111">
        <v>24.7</v>
      </c>
      <c r="M30" s="111">
        <v>25</v>
      </c>
      <c r="N30" s="111">
        <v>25.1</v>
      </c>
      <c r="O30" s="111">
        <v>25.2</v>
      </c>
      <c r="P30" s="111">
        <v>25.3</v>
      </c>
      <c r="Q30" s="111">
        <v>25.5</v>
      </c>
      <c r="R30" s="111">
        <v>25.6</v>
      </c>
      <c r="S30" s="111">
        <v>25.3</v>
      </c>
      <c r="T30" s="111">
        <v>25</v>
      </c>
      <c r="U30" s="111">
        <v>25.2</v>
      </c>
      <c r="V30" s="111">
        <v>25.2</v>
      </c>
      <c r="W30" s="111">
        <v>25.3</v>
      </c>
      <c r="X30" s="111">
        <v>24.6</v>
      </c>
    </row>
    <row r="31" spans="1:24">
      <c r="A31" s="111" t="s">
        <v>60</v>
      </c>
      <c r="B31" s="111">
        <v>21.2</v>
      </c>
      <c r="C31" s="111">
        <v>21.1</v>
      </c>
      <c r="D31" s="111">
        <v>21.2</v>
      </c>
      <c r="E31" s="111">
        <v>21.1</v>
      </c>
      <c r="F31" s="111">
        <v>21.2</v>
      </c>
      <c r="G31" s="111">
        <v>21.2</v>
      </c>
      <c r="H31" s="111">
        <v>21.2</v>
      </c>
      <c r="I31" s="111">
        <v>21.2</v>
      </c>
      <c r="J31" s="111">
        <v>21.5</v>
      </c>
      <c r="K31" s="111">
        <v>21.8</v>
      </c>
      <c r="L31" s="111">
        <v>21.9</v>
      </c>
      <c r="M31" s="111">
        <v>22</v>
      </c>
      <c r="N31" s="111">
        <v>22.3</v>
      </c>
      <c r="O31" s="111">
        <v>22.1</v>
      </c>
      <c r="P31" s="111">
        <v>22.4</v>
      </c>
      <c r="Q31" s="111">
        <v>22.7</v>
      </c>
      <c r="R31" s="111">
        <v>23</v>
      </c>
      <c r="S31" s="111">
        <v>23.3</v>
      </c>
      <c r="T31" s="111">
        <v>23.1</v>
      </c>
      <c r="U31" s="111">
        <v>23.4</v>
      </c>
      <c r="V31" s="111">
        <v>23.2</v>
      </c>
      <c r="W31" s="111">
        <v>23.5</v>
      </c>
      <c r="X31" s="111">
        <v>22.1</v>
      </c>
    </row>
    <row r="32" spans="1:24">
      <c r="A32" s="111" t="s">
        <v>110</v>
      </c>
      <c r="B32" s="111">
        <v>18</v>
      </c>
      <c r="C32" s="111">
        <v>18.100000000000001</v>
      </c>
      <c r="D32" s="111">
        <v>18.2</v>
      </c>
      <c r="E32" s="111">
        <v>18.3</v>
      </c>
      <c r="F32" s="111">
        <v>18.399999999999999</v>
      </c>
      <c r="G32" s="111">
        <v>18.399999999999999</v>
      </c>
      <c r="H32" s="111">
        <v>18.399999999999999</v>
      </c>
      <c r="I32" s="111">
        <v>18.399999999999999</v>
      </c>
      <c r="J32" s="111">
        <v>18.7</v>
      </c>
      <c r="K32" s="111">
        <v>19</v>
      </c>
      <c r="L32" s="111">
        <v>19.3</v>
      </c>
      <c r="M32" s="111">
        <v>20.3</v>
      </c>
      <c r="N32" s="111">
        <v>20.100000000000001</v>
      </c>
      <c r="O32" s="111">
        <v>20.399999999999999</v>
      </c>
      <c r="P32" s="111">
        <v>20.7</v>
      </c>
      <c r="Q32" s="111">
        <v>20.8</v>
      </c>
      <c r="R32" s="111">
        <v>20.3</v>
      </c>
      <c r="S32" s="111">
        <v>20.100000000000001</v>
      </c>
      <c r="T32" s="111">
        <v>20.399999999999999</v>
      </c>
      <c r="U32" s="111">
        <v>20.2</v>
      </c>
      <c r="V32" s="111">
        <v>20.5</v>
      </c>
      <c r="W32" s="111">
        <v>20.8</v>
      </c>
      <c r="X32" s="111">
        <v>19.399999999999999</v>
      </c>
    </row>
    <row r="33" spans="1:24">
      <c r="A33" s="111" t="s">
        <v>59</v>
      </c>
      <c r="B33" s="111">
        <v>18.600000000000001</v>
      </c>
      <c r="C33" s="111">
        <v>18.600000000000001</v>
      </c>
      <c r="D33" s="111">
        <v>18.600000000000001</v>
      </c>
      <c r="E33" s="111">
        <v>18.5</v>
      </c>
      <c r="F33" s="111">
        <v>18.600000000000001</v>
      </c>
      <c r="G33" s="111">
        <v>18.600000000000001</v>
      </c>
      <c r="H33" s="111">
        <v>18.600000000000001</v>
      </c>
      <c r="I33" s="111">
        <v>18.7</v>
      </c>
      <c r="J33" s="111">
        <v>18.2</v>
      </c>
      <c r="K33" s="111">
        <v>18.5</v>
      </c>
      <c r="L33" s="111">
        <v>18.8</v>
      </c>
      <c r="M33" s="111">
        <v>19.100000000000001</v>
      </c>
      <c r="N33" s="111">
        <v>19.399999999999999</v>
      </c>
      <c r="O33" s="111">
        <v>19.2</v>
      </c>
      <c r="P33" s="111">
        <v>19.5</v>
      </c>
      <c r="Q33" s="111">
        <v>19.3</v>
      </c>
      <c r="R33" s="111">
        <v>19.600000000000001</v>
      </c>
      <c r="S33" s="111">
        <v>19.899999999999999</v>
      </c>
      <c r="T33" s="111">
        <v>20.2</v>
      </c>
      <c r="U33" s="111">
        <v>20.3</v>
      </c>
      <c r="V33" s="111">
        <v>20.100000000000001</v>
      </c>
      <c r="W33" s="111">
        <v>20.2</v>
      </c>
      <c r="X33" s="111">
        <v>19.100000000000001</v>
      </c>
    </row>
    <row r="34" spans="1:24">
      <c r="A34" s="111" t="s">
        <v>69</v>
      </c>
      <c r="B34" s="111">
        <v>17.2</v>
      </c>
      <c r="C34" s="111">
        <v>17.2</v>
      </c>
      <c r="D34" s="111">
        <v>17.2</v>
      </c>
      <c r="E34" s="111">
        <v>17.2</v>
      </c>
      <c r="F34" s="111">
        <v>17.2</v>
      </c>
      <c r="G34" s="111">
        <v>17.2</v>
      </c>
      <c r="H34" s="111">
        <v>17.2</v>
      </c>
      <c r="I34" s="111">
        <v>17.2</v>
      </c>
      <c r="J34" s="111">
        <v>17.5</v>
      </c>
      <c r="K34" s="111">
        <v>17.600000000000001</v>
      </c>
      <c r="L34" s="111">
        <v>17.399999999999999</v>
      </c>
      <c r="M34" s="111">
        <v>17.5</v>
      </c>
      <c r="N34" s="111">
        <v>17.3</v>
      </c>
      <c r="O34" s="111">
        <v>17.600000000000001</v>
      </c>
      <c r="P34" s="111">
        <v>18.600000000000001</v>
      </c>
      <c r="Q34" s="111">
        <v>19.600000000000001</v>
      </c>
      <c r="R34" s="111">
        <v>19.899999999999999</v>
      </c>
      <c r="S34" s="111">
        <v>19.399999999999999</v>
      </c>
      <c r="T34" s="111">
        <v>19.7</v>
      </c>
      <c r="U34" s="111">
        <v>19.8</v>
      </c>
      <c r="V34" s="111">
        <v>20.100000000000001</v>
      </c>
      <c r="W34" s="111">
        <v>20.399999999999999</v>
      </c>
      <c r="X34" s="111">
        <v>18.2</v>
      </c>
    </row>
    <row r="35" spans="1:24">
      <c r="A35" s="111" t="s">
        <v>57</v>
      </c>
      <c r="B35" s="111">
        <v>11.2</v>
      </c>
      <c r="C35" s="111">
        <v>11.1</v>
      </c>
      <c r="D35" s="111">
        <v>11.1</v>
      </c>
      <c r="E35" s="111">
        <v>11.2</v>
      </c>
      <c r="F35" s="111">
        <v>11.1</v>
      </c>
      <c r="G35" s="111">
        <v>11</v>
      </c>
      <c r="H35" s="111">
        <v>11</v>
      </c>
      <c r="I35" s="111">
        <v>10.9</v>
      </c>
      <c r="J35" s="111">
        <v>10.9</v>
      </c>
      <c r="K35" s="111">
        <v>11.4</v>
      </c>
      <c r="L35" s="111">
        <v>12.9</v>
      </c>
      <c r="M35" s="111">
        <v>13.9</v>
      </c>
      <c r="N35" s="111">
        <v>14.4</v>
      </c>
      <c r="O35" s="111">
        <v>14.9</v>
      </c>
      <c r="P35" s="111">
        <v>15.4</v>
      </c>
      <c r="Q35" s="111">
        <v>15.7</v>
      </c>
      <c r="R35" s="111">
        <v>16.7</v>
      </c>
      <c r="S35" s="111">
        <v>17</v>
      </c>
      <c r="T35" s="111">
        <v>18</v>
      </c>
      <c r="U35" s="111">
        <v>19</v>
      </c>
      <c r="V35" s="111">
        <v>20</v>
      </c>
      <c r="W35" s="111">
        <v>19.8</v>
      </c>
      <c r="X35" s="111">
        <v>14</v>
      </c>
    </row>
    <row r="36" spans="1:24">
      <c r="A36" s="111" t="s">
        <v>73</v>
      </c>
      <c r="B36" s="111">
        <v>8.3000000000000007</v>
      </c>
      <c r="C36" s="111">
        <v>8.5</v>
      </c>
      <c r="D36" s="111">
        <v>8.6999999999999993</v>
      </c>
      <c r="E36" s="111">
        <v>8.9</v>
      </c>
      <c r="F36" s="111">
        <v>9.1</v>
      </c>
      <c r="G36" s="111">
        <v>9.1999999999999993</v>
      </c>
      <c r="H36" s="111">
        <v>9.4</v>
      </c>
      <c r="I36" s="111">
        <v>9.4</v>
      </c>
      <c r="J36" s="111">
        <v>10.4</v>
      </c>
      <c r="K36" s="111">
        <v>10.9</v>
      </c>
      <c r="L36" s="111">
        <v>11.4</v>
      </c>
      <c r="M36" s="111">
        <v>11.9</v>
      </c>
      <c r="N36" s="111">
        <v>11.9</v>
      </c>
      <c r="O36" s="111">
        <v>13.4</v>
      </c>
      <c r="P36" s="111">
        <v>13.4</v>
      </c>
      <c r="Q36" s="111">
        <v>13.4</v>
      </c>
      <c r="R36" s="111">
        <v>14.4</v>
      </c>
      <c r="S36" s="111">
        <v>15.4</v>
      </c>
      <c r="T36" s="111">
        <v>15.2</v>
      </c>
      <c r="U36" s="111">
        <v>14.7</v>
      </c>
      <c r="V36" s="111">
        <v>15.7</v>
      </c>
      <c r="W36" s="111">
        <v>15.8</v>
      </c>
      <c r="X36" s="111">
        <v>11.8</v>
      </c>
    </row>
    <row r="37" spans="1:24">
      <c r="A37" s="111" t="s">
        <v>66</v>
      </c>
      <c r="B37" s="111">
        <v>9.4</v>
      </c>
      <c r="C37" s="111">
        <v>9.3000000000000007</v>
      </c>
      <c r="D37" s="111">
        <v>9.3000000000000007</v>
      </c>
      <c r="E37" s="111">
        <v>9.1999999999999993</v>
      </c>
      <c r="F37" s="111">
        <v>9.1999999999999993</v>
      </c>
      <c r="G37" s="111">
        <v>9.1999999999999993</v>
      </c>
      <c r="H37" s="111">
        <v>9.4</v>
      </c>
      <c r="I37" s="111">
        <v>9.4</v>
      </c>
      <c r="J37" s="111">
        <v>9.9</v>
      </c>
      <c r="K37" s="111">
        <v>9.9</v>
      </c>
      <c r="L37" s="111">
        <v>9.8000000000000007</v>
      </c>
      <c r="M37" s="111">
        <v>9.6999999999999993</v>
      </c>
      <c r="N37" s="111">
        <v>10.7</v>
      </c>
      <c r="O37" s="111">
        <v>11.2</v>
      </c>
      <c r="P37" s="111">
        <v>11.1</v>
      </c>
      <c r="Q37" s="111">
        <v>11</v>
      </c>
      <c r="R37" s="111">
        <v>11.5</v>
      </c>
      <c r="S37" s="111">
        <v>11.5</v>
      </c>
      <c r="T37" s="111">
        <v>11.5</v>
      </c>
      <c r="U37" s="111">
        <v>12</v>
      </c>
      <c r="V37" s="111">
        <v>12.5</v>
      </c>
      <c r="W37" s="111">
        <v>13.5</v>
      </c>
      <c r="X37" s="111">
        <v>10.5</v>
      </c>
    </row>
    <row r="38" spans="1:24">
      <c r="A38" s="111" t="s">
        <v>72</v>
      </c>
      <c r="B38" s="111">
        <v>8.1</v>
      </c>
      <c r="C38" s="111">
        <v>8.1999999999999993</v>
      </c>
      <c r="D38" s="111">
        <v>8.1999999999999993</v>
      </c>
      <c r="E38" s="111">
        <v>8.1</v>
      </c>
      <c r="F38" s="111">
        <v>8.1</v>
      </c>
      <c r="G38" s="111">
        <v>8.1</v>
      </c>
      <c r="H38" s="111">
        <v>8.1</v>
      </c>
      <c r="I38" s="111">
        <v>8.1</v>
      </c>
      <c r="J38" s="111">
        <v>8.6</v>
      </c>
      <c r="K38" s="111">
        <v>8.6</v>
      </c>
      <c r="L38" s="111">
        <v>8.6</v>
      </c>
      <c r="M38" s="111">
        <v>8.5</v>
      </c>
      <c r="N38" s="111">
        <v>9</v>
      </c>
      <c r="O38" s="111">
        <v>10</v>
      </c>
      <c r="P38" s="111">
        <v>10</v>
      </c>
      <c r="Q38" s="111">
        <v>11</v>
      </c>
      <c r="R38" s="111">
        <v>11.5</v>
      </c>
      <c r="S38" s="111">
        <v>12</v>
      </c>
      <c r="T38" s="111">
        <v>13</v>
      </c>
      <c r="U38" s="111">
        <v>13.5</v>
      </c>
      <c r="V38" s="111">
        <v>14.5</v>
      </c>
      <c r="W38" s="111">
        <v>14.5</v>
      </c>
      <c r="X38" s="111">
        <v>9.9</v>
      </c>
    </row>
    <row r="39" spans="1:24">
      <c r="A39" s="111" t="s">
        <v>58</v>
      </c>
      <c r="B39" s="111">
        <v>7</v>
      </c>
      <c r="C39" s="111">
        <v>6.9</v>
      </c>
      <c r="D39" s="111">
        <v>6.8</v>
      </c>
      <c r="E39" s="111">
        <v>6.8</v>
      </c>
      <c r="F39" s="111">
        <v>6.8</v>
      </c>
      <c r="G39" s="111">
        <v>6.7</v>
      </c>
      <c r="H39" s="111">
        <v>6.6</v>
      </c>
      <c r="I39" s="111">
        <v>6.5</v>
      </c>
      <c r="J39" s="111">
        <v>6.5</v>
      </c>
      <c r="K39" s="111">
        <v>7</v>
      </c>
      <c r="L39" s="111">
        <v>8</v>
      </c>
      <c r="M39" s="111">
        <v>9</v>
      </c>
      <c r="N39" s="111">
        <v>9</v>
      </c>
      <c r="O39" s="111">
        <v>9.5</v>
      </c>
      <c r="P39" s="111">
        <v>10</v>
      </c>
      <c r="Q39" s="111">
        <v>11</v>
      </c>
      <c r="R39" s="111">
        <v>12.5</v>
      </c>
      <c r="S39" s="111">
        <v>14</v>
      </c>
      <c r="T39" s="111">
        <v>13.9</v>
      </c>
      <c r="U39" s="111">
        <v>14.4</v>
      </c>
      <c r="V39" s="111">
        <v>14.4</v>
      </c>
      <c r="W39" s="111">
        <v>15.4</v>
      </c>
      <c r="X39" s="111">
        <v>9.5</v>
      </c>
    </row>
    <row r="40" spans="1:24">
      <c r="A40" s="111" t="s">
        <v>68</v>
      </c>
      <c r="B40" s="111">
        <v>7.5</v>
      </c>
      <c r="C40" s="111">
        <v>7.6</v>
      </c>
      <c r="D40" s="111">
        <v>7.5</v>
      </c>
      <c r="E40" s="111">
        <v>7.6</v>
      </c>
      <c r="F40" s="111">
        <v>7.7</v>
      </c>
      <c r="G40" s="111">
        <v>7.7</v>
      </c>
      <c r="H40" s="111">
        <v>7.6</v>
      </c>
      <c r="I40" s="111">
        <v>7.6</v>
      </c>
      <c r="J40" s="111">
        <v>8.1</v>
      </c>
      <c r="K40" s="111">
        <v>8.6</v>
      </c>
      <c r="L40" s="111">
        <v>8.6</v>
      </c>
      <c r="M40" s="111">
        <v>9.1</v>
      </c>
      <c r="N40" s="111">
        <v>9.6</v>
      </c>
      <c r="O40" s="111">
        <v>10.1</v>
      </c>
      <c r="P40" s="111">
        <v>10.6</v>
      </c>
      <c r="Q40" s="111">
        <v>10.6</v>
      </c>
      <c r="R40" s="111">
        <v>10.5</v>
      </c>
      <c r="S40" s="111">
        <v>11</v>
      </c>
      <c r="T40" s="111">
        <v>11.5</v>
      </c>
      <c r="U40" s="111">
        <v>12</v>
      </c>
      <c r="V40" s="111">
        <v>13</v>
      </c>
      <c r="W40" s="111">
        <v>14</v>
      </c>
      <c r="X40" s="111">
        <v>9.5</v>
      </c>
    </row>
    <row r="41" spans="1:24">
      <c r="A41" s="111" t="s">
        <v>108</v>
      </c>
      <c r="B41" s="111">
        <v>7.8</v>
      </c>
      <c r="C41" s="111">
        <v>7.8</v>
      </c>
      <c r="D41" s="111">
        <v>7.7</v>
      </c>
      <c r="E41" s="111">
        <v>7.7</v>
      </c>
      <c r="F41" s="111">
        <v>7.6</v>
      </c>
      <c r="G41" s="111">
        <v>7.5</v>
      </c>
      <c r="H41" s="111">
        <v>7.5</v>
      </c>
      <c r="I41" s="111">
        <v>7.4</v>
      </c>
      <c r="J41" s="111">
        <v>7.5</v>
      </c>
      <c r="K41" s="111">
        <v>7.9</v>
      </c>
      <c r="L41" s="111">
        <v>7.9</v>
      </c>
      <c r="M41" s="111">
        <v>7.9</v>
      </c>
      <c r="N41" s="111">
        <v>7.9</v>
      </c>
      <c r="O41" s="111">
        <v>8.4</v>
      </c>
      <c r="P41" s="111">
        <v>8.9</v>
      </c>
      <c r="Q41" s="111">
        <v>8.8000000000000007</v>
      </c>
      <c r="R41" s="111">
        <v>8.6999999999999993</v>
      </c>
      <c r="S41" s="111">
        <v>9.1999999999999993</v>
      </c>
      <c r="T41" s="111">
        <v>9.6999999999999993</v>
      </c>
      <c r="U41" s="111">
        <v>9.6999999999999993</v>
      </c>
      <c r="V41" s="111">
        <v>9.6</v>
      </c>
      <c r="W41" s="111">
        <v>9.6</v>
      </c>
      <c r="X41" s="111">
        <v>8.3000000000000007</v>
      </c>
    </row>
    <row r="42" spans="1:24">
      <c r="A42" s="111" t="s">
        <v>64</v>
      </c>
      <c r="B42" s="111">
        <v>5.5</v>
      </c>
      <c r="C42" s="111">
        <v>5.5</v>
      </c>
      <c r="D42" s="111">
        <v>5.4</v>
      </c>
      <c r="E42" s="111">
        <v>5.3</v>
      </c>
      <c r="F42" s="111">
        <v>5.2</v>
      </c>
      <c r="G42" s="111">
        <v>5.0999999999999996</v>
      </c>
      <c r="H42" s="111">
        <v>5</v>
      </c>
      <c r="I42" s="111">
        <v>4.9000000000000004</v>
      </c>
      <c r="J42" s="111">
        <v>5.9</v>
      </c>
      <c r="K42" s="111">
        <v>6.4</v>
      </c>
      <c r="L42" s="111">
        <v>6.9</v>
      </c>
      <c r="M42" s="111">
        <v>7.4</v>
      </c>
      <c r="N42" s="111">
        <v>7.9</v>
      </c>
      <c r="O42" s="111">
        <v>8.4</v>
      </c>
      <c r="P42" s="111">
        <v>8.9</v>
      </c>
      <c r="Q42" s="111">
        <v>9.4</v>
      </c>
      <c r="R42" s="111">
        <v>9.3000000000000007</v>
      </c>
      <c r="S42" s="111">
        <v>10.3</v>
      </c>
      <c r="T42" s="111">
        <v>10.8</v>
      </c>
      <c r="U42" s="111">
        <v>11.3</v>
      </c>
      <c r="V42" s="111">
        <v>11.3</v>
      </c>
      <c r="W42" s="111">
        <v>11.3</v>
      </c>
      <c r="X42" s="111">
        <v>7.6</v>
      </c>
    </row>
    <row r="43" spans="1:24">
      <c r="A43" s="111" t="s">
        <v>105</v>
      </c>
      <c r="B43" s="111">
        <v>6.7</v>
      </c>
      <c r="C43" s="111">
        <v>6.7</v>
      </c>
      <c r="D43" s="111">
        <v>6.7</v>
      </c>
      <c r="E43" s="111">
        <v>6.6</v>
      </c>
      <c r="F43" s="111">
        <v>6.6</v>
      </c>
      <c r="G43" s="111">
        <v>6.5</v>
      </c>
      <c r="H43" s="111">
        <v>6.4</v>
      </c>
      <c r="I43" s="111">
        <v>6.4</v>
      </c>
      <c r="J43" s="111">
        <v>6.4</v>
      </c>
      <c r="K43" s="111">
        <v>6.9</v>
      </c>
      <c r="L43" s="111">
        <v>6.8</v>
      </c>
      <c r="M43" s="111">
        <v>6.8</v>
      </c>
      <c r="N43" s="111">
        <v>7.3</v>
      </c>
      <c r="O43" s="111">
        <v>7.8</v>
      </c>
      <c r="P43" s="111">
        <v>7.5</v>
      </c>
      <c r="Q43" s="111">
        <v>8.3000000000000007</v>
      </c>
      <c r="R43" s="111">
        <v>8.3000000000000007</v>
      </c>
      <c r="S43" s="111">
        <v>9.3000000000000007</v>
      </c>
      <c r="T43" s="111">
        <v>9.8000000000000007</v>
      </c>
      <c r="U43" s="111">
        <v>9.6999999999999993</v>
      </c>
      <c r="V43" s="111">
        <v>9.6</v>
      </c>
      <c r="W43" s="111">
        <v>9.6</v>
      </c>
      <c r="X43" s="111">
        <v>7.6</v>
      </c>
    </row>
    <row r="44" spans="1:24">
      <c r="A44" s="111" t="s">
        <v>106</v>
      </c>
      <c r="B44" s="111">
        <v>4.9000000000000004</v>
      </c>
      <c r="C44" s="111">
        <v>4.9000000000000004</v>
      </c>
      <c r="D44" s="111">
        <v>4.9000000000000004</v>
      </c>
      <c r="E44" s="111">
        <v>4.9000000000000004</v>
      </c>
      <c r="F44" s="111">
        <v>4.8</v>
      </c>
      <c r="G44" s="111">
        <v>4.7</v>
      </c>
      <c r="H44" s="111">
        <v>4.7</v>
      </c>
      <c r="I44" s="111">
        <v>4.7</v>
      </c>
      <c r="J44" s="111">
        <v>4.7</v>
      </c>
      <c r="K44" s="111">
        <v>4.7</v>
      </c>
      <c r="L44" s="111">
        <v>5.2</v>
      </c>
      <c r="M44" s="111">
        <v>5.2</v>
      </c>
      <c r="N44" s="111">
        <v>5.7</v>
      </c>
      <c r="O44" s="111">
        <v>5.7</v>
      </c>
      <c r="P44" s="111">
        <v>5.7</v>
      </c>
      <c r="Q44" s="111">
        <v>6.2</v>
      </c>
      <c r="R44" s="111">
        <v>6.7</v>
      </c>
      <c r="S44" s="111">
        <v>7.2</v>
      </c>
      <c r="T44" s="111">
        <v>7.2</v>
      </c>
      <c r="U44" s="111">
        <v>7.2</v>
      </c>
      <c r="V44" s="111">
        <v>7.2</v>
      </c>
      <c r="W44" s="111">
        <v>7.7</v>
      </c>
      <c r="X44" s="111">
        <v>5.7</v>
      </c>
    </row>
    <row r="45" spans="1:24">
      <c r="A45" s="111" t="s">
        <v>65</v>
      </c>
      <c r="B45" s="111">
        <v>4.8</v>
      </c>
      <c r="C45" s="111">
        <v>4.8</v>
      </c>
      <c r="D45" s="111">
        <v>4.8</v>
      </c>
      <c r="E45" s="111">
        <v>4.8</v>
      </c>
      <c r="F45" s="111">
        <v>4.7</v>
      </c>
      <c r="G45" s="111">
        <v>4.7</v>
      </c>
      <c r="H45" s="111">
        <v>4.5999999999999996</v>
      </c>
      <c r="I45" s="111">
        <v>4.5999999999999996</v>
      </c>
      <c r="J45" s="111">
        <v>5.0999999999999996</v>
      </c>
      <c r="K45" s="111">
        <v>5.0999999999999996</v>
      </c>
      <c r="L45" s="111">
        <v>5.0999999999999996</v>
      </c>
      <c r="M45" s="111">
        <v>5.0999999999999996</v>
      </c>
      <c r="N45" s="111">
        <v>5.0999999999999996</v>
      </c>
      <c r="O45" s="111">
        <v>5.6</v>
      </c>
      <c r="P45" s="111">
        <v>5.5</v>
      </c>
      <c r="Q45" s="111">
        <v>5.4</v>
      </c>
      <c r="R45" s="111">
        <v>5.4</v>
      </c>
      <c r="S45" s="111">
        <v>5.9</v>
      </c>
      <c r="T45" s="111">
        <v>6.9</v>
      </c>
      <c r="U45" s="111">
        <v>7.9</v>
      </c>
      <c r="V45" s="111">
        <v>8.9</v>
      </c>
      <c r="W45" s="111">
        <v>9.4</v>
      </c>
      <c r="X45" s="111">
        <v>5.6</v>
      </c>
    </row>
    <row r="46" spans="1:24">
      <c r="A46" s="111" t="s">
        <v>71</v>
      </c>
      <c r="B46" s="111"/>
      <c r="C46" s="111"/>
      <c r="D46" s="111"/>
      <c r="E46" s="111"/>
      <c r="F46" s="111"/>
      <c r="G46" s="111"/>
      <c r="H46" s="111"/>
      <c r="I46" s="111"/>
      <c r="J46" s="111"/>
      <c r="K46" s="111"/>
      <c r="L46" s="111"/>
      <c r="M46" s="111"/>
      <c r="N46" s="111">
        <v>4.5</v>
      </c>
      <c r="O46" s="111">
        <v>5</v>
      </c>
      <c r="P46" s="111">
        <v>5</v>
      </c>
      <c r="Q46" s="111">
        <v>5.5</v>
      </c>
      <c r="R46" s="111">
        <v>6</v>
      </c>
      <c r="S46" s="111"/>
      <c r="T46" s="111"/>
      <c r="U46" s="111"/>
      <c r="V46" s="111"/>
      <c r="W46" s="111"/>
      <c r="X46" s="111">
        <v>5.2</v>
      </c>
    </row>
    <row r="47" spans="1:24">
      <c r="A47" s="111" t="s">
        <v>107</v>
      </c>
      <c r="B47" s="111"/>
      <c r="C47" s="111"/>
      <c r="D47" s="111"/>
      <c r="E47" s="111"/>
      <c r="F47" s="111"/>
      <c r="G47" s="111"/>
      <c r="H47" s="111"/>
      <c r="I47" s="111"/>
      <c r="J47" s="111"/>
      <c r="K47" s="111"/>
      <c r="L47" s="111">
        <v>4.5</v>
      </c>
      <c r="M47" s="111">
        <v>4.5</v>
      </c>
      <c r="N47" s="111"/>
      <c r="O47" s="111"/>
      <c r="P47" s="111"/>
      <c r="Q47" s="111"/>
      <c r="R47" s="111"/>
      <c r="S47" s="111">
        <v>4.5</v>
      </c>
      <c r="T47" s="111">
        <v>4.5</v>
      </c>
      <c r="U47" s="111">
        <v>5</v>
      </c>
      <c r="V47" s="111">
        <v>5.5</v>
      </c>
      <c r="W47" s="111">
        <v>5.5</v>
      </c>
      <c r="X47" s="111">
        <v>4.9000000000000004</v>
      </c>
    </row>
    <row r="48" spans="1:24">
      <c r="A48" s="111" t="s">
        <v>114</v>
      </c>
      <c r="B48" s="111">
        <v>5</v>
      </c>
      <c r="C48" s="111">
        <v>5</v>
      </c>
      <c r="D48" s="111">
        <v>5</v>
      </c>
      <c r="E48" s="111">
        <v>4.9000000000000004</v>
      </c>
      <c r="F48" s="111">
        <v>4.8</v>
      </c>
      <c r="G48" s="111">
        <v>4.7</v>
      </c>
      <c r="H48" s="111">
        <v>4.5999999999999996</v>
      </c>
      <c r="I48" s="111">
        <v>4.5</v>
      </c>
      <c r="J48" s="111">
        <v>4.5</v>
      </c>
      <c r="K48" s="111">
        <v>4.5</v>
      </c>
      <c r="L48" s="111"/>
      <c r="M48" s="111"/>
      <c r="N48" s="111"/>
      <c r="O48" s="111"/>
      <c r="P48" s="111"/>
      <c r="Q48" s="111"/>
      <c r="R48" s="111"/>
      <c r="S48" s="111"/>
      <c r="T48" s="111"/>
      <c r="U48" s="111"/>
      <c r="V48" s="111"/>
      <c r="W48" s="111"/>
      <c r="X48" s="111">
        <v>4.8</v>
      </c>
    </row>
    <row r="49" spans="1:24">
      <c r="A49" s="111" t="s">
        <v>67</v>
      </c>
      <c r="B49" s="111">
        <v>4.3</v>
      </c>
      <c r="C49" s="111">
        <v>4.2</v>
      </c>
      <c r="D49" s="111">
        <v>4.0999999999999996</v>
      </c>
      <c r="E49" s="111">
        <v>4.0999999999999996</v>
      </c>
      <c r="F49" s="111">
        <v>4</v>
      </c>
      <c r="G49" s="111">
        <v>3.9</v>
      </c>
      <c r="H49" s="111">
        <v>3.9</v>
      </c>
      <c r="I49" s="111">
        <v>3.8</v>
      </c>
      <c r="J49" s="111">
        <v>3.8</v>
      </c>
      <c r="K49" s="111">
        <v>3.8</v>
      </c>
      <c r="L49" s="111">
        <v>3.8</v>
      </c>
      <c r="M49" s="111">
        <v>3.8</v>
      </c>
      <c r="N49" s="111">
        <v>4.3</v>
      </c>
      <c r="O49" s="111">
        <v>4.8</v>
      </c>
      <c r="P49" s="111">
        <v>4.8</v>
      </c>
      <c r="Q49" s="111">
        <v>4.8</v>
      </c>
      <c r="R49" s="111">
        <v>5.3</v>
      </c>
      <c r="S49" s="111">
        <v>5.2</v>
      </c>
      <c r="T49" s="111">
        <v>5.7</v>
      </c>
      <c r="U49" s="111">
        <v>6.2</v>
      </c>
      <c r="V49" s="111">
        <v>6.2</v>
      </c>
      <c r="W49" s="111">
        <v>6.2</v>
      </c>
      <c r="X49" s="111">
        <v>4.5999999999999996</v>
      </c>
    </row>
    <row r="50" spans="1:24">
      <c r="A50" s="111" t="s">
        <v>109</v>
      </c>
      <c r="B50" s="111">
        <v>4</v>
      </c>
      <c r="C50" s="111">
        <v>4</v>
      </c>
      <c r="D50" s="111">
        <v>3.9</v>
      </c>
      <c r="E50" s="111">
        <v>3.8</v>
      </c>
      <c r="F50" s="111">
        <v>3.7</v>
      </c>
      <c r="G50" s="111">
        <v>3.6</v>
      </c>
      <c r="H50" s="111">
        <v>3.5</v>
      </c>
      <c r="I50" s="111">
        <v>3.5</v>
      </c>
      <c r="J50" s="111">
        <v>3.5</v>
      </c>
      <c r="K50" s="111">
        <v>4</v>
      </c>
      <c r="L50" s="111">
        <v>4.5</v>
      </c>
      <c r="M50" s="111">
        <v>4.5</v>
      </c>
      <c r="N50" s="111">
        <v>4.5</v>
      </c>
      <c r="O50" s="111">
        <v>4.5</v>
      </c>
      <c r="P50" s="111">
        <v>4.5</v>
      </c>
      <c r="Q50" s="111">
        <v>5</v>
      </c>
      <c r="R50" s="111">
        <v>4.9000000000000004</v>
      </c>
      <c r="S50" s="111">
        <v>4.8</v>
      </c>
      <c r="T50" s="111">
        <v>5.3</v>
      </c>
      <c r="U50" s="111">
        <v>5.3</v>
      </c>
      <c r="V50" s="111">
        <v>5.8</v>
      </c>
      <c r="W50" s="111">
        <v>5.8</v>
      </c>
      <c r="X50" s="111">
        <v>4.4000000000000004</v>
      </c>
    </row>
    <row r="51" spans="1:24">
      <c r="A51" s="112" t="s">
        <v>55</v>
      </c>
      <c r="B51" s="111">
        <v>11</v>
      </c>
      <c r="C51" s="111">
        <v>11</v>
      </c>
      <c r="D51" s="111">
        <v>11</v>
      </c>
      <c r="E51" s="111">
        <v>11</v>
      </c>
      <c r="F51" s="111">
        <v>11</v>
      </c>
      <c r="G51" s="111">
        <v>11</v>
      </c>
      <c r="H51" s="111">
        <v>11</v>
      </c>
      <c r="I51" s="111">
        <v>10.9</v>
      </c>
      <c r="J51" s="111">
        <v>11.2</v>
      </c>
      <c r="K51" s="111">
        <v>11.4</v>
      </c>
      <c r="L51" s="111">
        <v>11.7</v>
      </c>
      <c r="M51" s="111">
        <v>12</v>
      </c>
      <c r="N51" s="111">
        <v>12.2</v>
      </c>
      <c r="O51" s="111">
        <v>12.6</v>
      </c>
      <c r="P51" s="111">
        <v>12.8</v>
      </c>
      <c r="Q51" s="111">
        <v>13.1</v>
      </c>
      <c r="R51" s="111">
        <v>13.5</v>
      </c>
      <c r="S51" s="111">
        <v>13.7</v>
      </c>
      <c r="T51" s="111">
        <v>14</v>
      </c>
      <c r="U51" s="111">
        <v>14.3</v>
      </c>
      <c r="V51" s="111">
        <v>14.7</v>
      </c>
      <c r="W51" s="111">
        <v>14.9</v>
      </c>
      <c r="X51" s="111"/>
    </row>
    <row r="52" spans="1:24" ht="18">
      <c r="A52" s="107" t="s">
        <v>102</v>
      </c>
    </row>
    <row r="53" spans="1:24" ht="18">
      <c r="A53" s="108" t="s">
        <v>29</v>
      </c>
    </row>
    <row r="54" spans="1:24">
      <c r="A54" s="110"/>
      <c r="B54" s="110"/>
      <c r="C54" s="110"/>
      <c r="D54" s="110"/>
      <c r="E54" s="110"/>
      <c r="F54" s="110"/>
      <c r="G54" s="110"/>
      <c r="H54" s="110"/>
      <c r="I54" s="110"/>
      <c r="J54" s="110"/>
      <c r="K54" s="110"/>
      <c r="L54" s="110"/>
      <c r="M54" s="110"/>
      <c r="N54" s="110"/>
      <c r="O54" s="110"/>
      <c r="P54" s="110"/>
      <c r="Q54" s="110"/>
      <c r="R54" s="110"/>
      <c r="S54" s="110"/>
      <c r="T54" s="110"/>
      <c r="U54" s="110"/>
      <c r="V54" s="110"/>
    </row>
    <row r="55" spans="1:24">
      <c r="A55" s="111" t="s">
        <v>80</v>
      </c>
      <c r="B55" s="111">
        <v>27.2</v>
      </c>
      <c r="C55" s="111">
        <v>27.3</v>
      </c>
      <c r="D55" s="111">
        <v>27.4</v>
      </c>
      <c r="E55" s="111">
        <v>27.5</v>
      </c>
      <c r="F55" s="111">
        <v>27.6</v>
      </c>
      <c r="G55" s="111">
        <v>27.7</v>
      </c>
      <c r="H55" s="111">
        <v>27.8</v>
      </c>
      <c r="I55" s="111">
        <v>27.9</v>
      </c>
      <c r="J55" s="111">
        <v>28.1</v>
      </c>
      <c r="K55" s="111">
        <v>28.2</v>
      </c>
      <c r="L55" s="111">
        <v>28.4</v>
      </c>
      <c r="M55" s="111">
        <v>28.6</v>
      </c>
      <c r="N55" s="111">
        <v>28.7</v>
      </c>
      <c r="O55" s="111">
        <v>28.8</v>
      </c>
      <c r="P55" s="111">
        <v>29</v>
      </c>
      <c r="Q55" s="111">
        <v>29.1</v>
      </c>
      <c r="R55" s="111">
        <v>29.2</v>
      </c>
      <c r="S55" s="111">
        <v>29.3</v>
      </c>
      <c r="T55" s="111">
        <v>29.4</v>
      </c>
      <c r="U55" s="111">
        <v>29.4</v>
      </c>
      <c r="V55" s="111">
        <v>29.6</v>
      </c>
      <c r="W55" s="111">
        <v>29.7</v>
      </c>
      <c r="X55" s="111">
        <v>28.5</v>
      </c>
    </row>
    <row r="56" spans="1:24">
      <c r="A56" s="111" t="s">
        <v>81</v>
      </c>
      <c r="B56" s="111">
        <v>25.1</v>
      </c>
      <c r="C56" s="111">
        <v>25.1</v>
      </c>
      <c r="D56" s="111">
        <v>25.1</v>
      </c>
      <c r="E56" s="111">
        <v>25.1</v>
      </c>
      <c r="F56" s="111">
        <v>25.1</v>
      </c>
      <c r="G56" s="111">
        <v>25.1</v>
      </c>
      <c r="H56" s="111">
        <v>25.2</v>
      </c>
      <c r="I56" s="111">
        <v>25.2</v>
      </c>
      <c r="J56" s="111">
        <v>25.2</v>
      </c>
      <c r="K56" s="111">
        <v>25.2</v>
      </c>
      <c r="L56" s="111">
        <v>25.3</v>
      </c>
      <c r="M56" s="111">
        <v>25.4</v>
      </c>
      <c r="N56" s="111">
        <v>25.5</v>
      </c>
      <c r="O56" s="111">
        <v>25.5</v>
      </c>
      <c r="P56" s="111">
        <v>25.6</v>
      </c>
      <c r="Q56" s="111">
        <v>25.7</v>
      </c>
      <c r="R56" s="111">
        <v>25.8</v>
      </c>
      <c r="S56" s="111">
        <v>25.9</v>
      </c>
      <c r="T56" s="111">
        <v>25.9</v>
      </c>
      <c r="U56" s="111">
        <v>26</v>
      </c>
      <c r="V56" s="111">
        <v>26</v>
      </c>
      <c r="W56" s="111">
        <v>26</v>
      </c>
      <c r="X56" s="111">
        <v>25.5</v>
      </c>
    </row>
    <row r="57" spans="1:24">
      <c r="A57" s="111" t="s">
        <v>82</v>
      </c>
      <c r="B57" s="111">
        <v>22.1</v>
      </c>
      <c r="C57" s="111">
        <v>22.1</v>
      </c>
      <c r="D57" s="111">
        <v>22.2</v>
      </c>
      <c r="E57" s="111">
        <v>22.1</v>
      </c>
      <c r="F57" s="111">
        <v>22.2</v>
      </c>
      <c r="G57" s="111">
        <v>22.2</v>
      </c>
      <c r="H57" s="111">
        <v>22.2</v>
      </c>
      <c r="I57" s="111">
        <v>22.2</v>
      </c>
      <c r="J57" s="111">
        <v>22.5</v>
      </c>
      <c r="K57" s="111">
        <v>22.8</v>
      </c>
      <c r="L57" s="111">
        <v>22.9</v>
      </c>
      <c r="M57" s="111">
        <v>23</v>
      </c>
      <c r="N57" s="111">
        <v>23.1</v>
      </c>
      <c r="O57" s="111">
        <v>23.2</v>
      </c>
      <c r="P57" s="111">
        <v>23.5</v>
      </c>
      <c r="Q57" s="111">
        <v>23.8</v>
      </c>
      <c r="R57" s="111">
        <v>24.1</v>
      </c>
      <c r="S57" s="111">
        <v>24.2</v>
      </c>
      <c r="T57" s="111">
        <v>24.3</v>
      </c>
      <c r="U57" s="111">
        <v>24.6</v>
      </c>
      <c r="V57" s="111">
        <v>24.7</v>
      </c>
      <c r="W57" s="111">
        <v>25</v>
      </c>
      <c r="X57" s="111">
        <v>23.1</v>
      </c>
    </row>
    <row r="58" spans="1:24">
      <c r="A58" s="111" t="s">
        <v>79</v>
      </c>
      <c r="B58" s="111">
        <v>9.1</v>
      </c>
      <c r="C58" s="111">
        <v>9</v>
      </c>
      <c r="D58" s="111">
        <v>9</v>
      </c>
      <c r="E58" s="111">
        <v>9</v>
      </c>
      <c r="F58" s="111">
        <v>9</v>
      </c>
      <c r="G58" s="111">
        <v>8.9</v>
      </c>
      <c r="H58" s="111">
        <v>8.9</v>
      </c>
      <c r="I58" s="111">
        <v>8.8000000000000007</v>
      </c>
      <c r="J58" s="111">
        <v>9.3000000000000007</v>
      </c>
      <c r="K58" s="111">
        <v>9.8000000000000007</v>
      </c>
      <c r="L58" s="111">
        <v>10.8</v>
      </c>
      <c r="M58" s="111">
        <v>11.8</v>
      </c>
      <c r="N58" s="111">
        <v>11.8</v>
      </c>
      <c r="O58" s="111">
        <v>12.3</v>
      </c>
      <c r="P58" s="111">
        <v>13.3</v>
      </c>
      <c r="Q58" s="111">
        <v>14.3</v>
      </c>
      <c r="R58" s="111">
        <v>15.3</v>
      </c>
      <c r="S58" s="111">
        <v>16.3</v>
      </c>
      <c r="T58" s="111">
        <v>16.399999999999999</v>
      </c>
      <c r="U58" s="111">
        <v>16.7</v>
      </c>
      <c r="V58" s="111">
        <v>17</v>
      </c>
      <c r="W58" s="111">
        <v>17.100000000000001</v>
      </c>
      <c r="X58" s="111">
        <v>12</v>
      </c>
    </row>
    <row r="59" spans="1:24">
      <c r="A59" s="111" t="s">
        <v>88</v>
      </c>
      <c r="B59" s="111">
        <v>10.1</v>
      </c>
      <c r="C59" s="111">
        <v>10</v>
      </c>
      <c r="D59" s="111">
        <v>10</v>
      </c>
      <c r="E59" s="111">
        <v>9.9</v>
      </c>
      <c r="F59" s="111">
        <v>9.9</v>
      </c>
      <c r="G59" s="111">
        <v>9.9</v>
      </c>
      <c r="H59" s="111">
        <v>10</v>
      </c>
      <c r="I59" s="111">
        <v>10</v>
      </c>
      <c r="J59" s="111">
        <v>10.5</v>
      </c>
      <c r="K59" s="111">
        <v>10.5</v>
      </c>
      <c r="L59" s="111">
        <v>10.4</v>
      </c>
      <c r="M59" s="111">
        <v>10.3</v>
      </c>
      <c r="N59" s="111">
        <v>10.8</v>
      </c>
      <c r="O59" s="111">
        <v>11.3</v>
      </c>
      <c r="P59" s="111">
        <v>11.2</v>
      </c>
      <c r="Q59" s="111">
        <v>11.2</v>
      </c>
      <c r="R59" s="111">
        <v>11.7</v>
      </c>
      <c r="S59" s="111">
        <v>12.2</v>
      </c>
      <c r="T59" s="111">
        <v>12.7</v>
      </c>
      <c r="U59" s="111">
        <v>13.2</v>
      </c>
      <c r="V59" s="111">
        <v>13.7</v>
      </c>
      <c r="W59" s="111">
        <v>14.2</v>
      </c>
      <c r="X59" s="111">
        <v>11.1</v>
      </c>
    </row>
    <row r="60" spans="1:24">
      <c r="A60" s="111" t="s">
        <v>86</v>
      </c>
      <c r="B60" s="111">
        <v>6.7</v>
      </c>
      <c r="C60" s="111">
        <v>6.8</v>
      </c>
      <c r="D60" s="111">
        <v>6.8</v>
      </c>
      <c r="E60" s="111">
        <v>6.9</v>
      </c>
      <c r="F60" s="111">
        <v>7</v>
      </c>
      <c r="G60" s="111">
        <v>7</v>
      </c>
      <c r="H60" s="111">
        <v>7</v>
      </c>
      <c r="I60" s="111">
        <v>7</v>
      </c>
      <c r="J60" s="111">
        <v>8</v>
      </c>
      <c r="K60" s="111">
        <v>8.5</v>
      </c>
      <c r="L60" s="111">
        <v>9</v>
      </c>
      <c r="M60" s="111">
        <v>9.5</v>
      </c>
      <c r="N60" s="111">
        <v>10</v>
      </c>
      <c r="O60" s="111">
        <v>11</v>
      </c>
      <c r="P60" s="111">
        <v>11.5</v>
      </c>
      <c r="Q60" s="111">
        <v>11.5</v>
      </c>
      <c r="R60" s="111">
        <v>11.5</v>
      </c>
      <c r="S60" s="111">
        <v>12</v>
      </c>
      <c r="T60" s="111">
        <v>12</v>
      </c>
      <c r="U60" s="111">
        <v>11.9</v>
      </c>
      <c r="V60" s="111">
        <v>12.9</v>
      </c>
      <c r="W60" s="111">
        <v>13.4</v>
      </c>
      <c r="X60" s="111">
        <v>9.5</v>
      </c>
    </row>
    <row r="61" spans="1:24">
      <c r="A61" s="111" t="s">
        <v>115</v>
      </c>
      <c r="B61" s="111">
        <v>6.4</v>
      </c>
      <c r="C61" s="111">
        <v>6.3</v>
      </c>
      <c r="D61" s="111">
        <v>6.3</v>
      </c>
      <c r="E61" s="111">
        <v>6.2</v>
      </c>
      <c r="F61" s="111">
        <v>6.1</v>
      </c>
      <c r="G61" s="111">
        <v>6.1</v>
      </c>
      <c r="H61" s="111">
        <v>6</v>
      </c>
      <c r="I61" s="111">
        <v>6</v>
      </c>
      <c r="J61" s="111">
        <v>6</v>
      </c>
      <c r="K61" s="111">
        <v>6</v>
      </c>
      <c r="L61" s="111">
        <v>6</v>
      </c>
      <c r="M61" s="111">
        <v>6</v>
      </c>
      <c r="N61" s="111">
        <v>6</v>
      </c>
      <c r="O61" s="111">
        <v>6.5</v>
      </c>
      <c r="P61" s="111">
        <v>6.4</v>
      </c>
      <c r="Q61" s="111">
        <v>6.3</v>
      </c>
      <c r="R61" s="111">
        <v>6.8</v>
      </c>
      <c r="S61" s="111">
        <v>6.7</v>
      </c>
      <c r="T61" s="111">
        <v>7.2</v>
      </c>
      <c r="U61" s="111">
        <v>7.7</v>
      </c>
      <c r="V61" s="111">
        <v>8.1999999999999993</v>
      </c>
      <c r="W61" s="111">
        <v>8.6999999999999993</v>
      </c>
      <c r="X61" s="111">
        <v>6.5</v>
      </c>
    </row>
    <row r="62" spans="1:24">
      <c r="A62" s="111" t="s">
        <v>116</v>
      </c>
      <c r="B62" s="111">
        <v>6.2</v>
      </c>
      <c r="C62" s="111">
        <v>6.2</v>
      </c>
      <c r="D62" s="111">
        <v>6.1</v>
      </c>
      <c r="E62" s="111">
        <v>6.1</v>
      </c>
      <c r="F62" s="111">
        <v>6</v>
      </c>
      <c r="G62" s="111">
        <v>5.9</v>
      </c>
      <c r="H62" s="111">
        <v>5.9</v>
      </c>
      <c r="I62" s="111">
        <v>5.9</v>
      </c>
      <c r="J62" s="111">
        <v>5.9</v>
      </c>
      <c r="K62" s="111">
        <v>5.9</v>
      </c>
      <c r="L62" s="111">
        <v>5.9</v>
      </c>
      <c r="M62" s="111">
        <v>5.9</v>
      </c>
      <c r="N62" s="111">
        <v>6.4</v>
      </c>
      <c r="O62" s="111">
        <v>6.4</v>
      </c>
      <c r="P62" s="111">
        <v>6.4</v>
      </c>
      <c r="Q62" s="111">
        <v>6.3</v>
      </c>
      <c r="R62" s="111">
        <v>6.2</v>
      </c>
      <c r="S62" s="111">
        <v>6.7</v>
      </c>
      <c r="T62" s="111">
        <v>6.7</v>
      </c>
      <c r="U62" s="111">
        <v>6.7</v>
      </c>
      <c r="V62" s="111">
        <v>6.6</v>
      </c>
      <c r="W62" s="111">
        <v>6.6</v>
      </c>
      <c r="X62" s="111">
        <v>6.2</v>
      </c>
    </row>
    <row r="63" spans="1:24">
      <c r="A63" s="111" t="s">
        <v>83</v>
      </c>
      <c r="B63" s="111">
        <v>5.0999999999999996</v>
      </c>
      <c r="C63" s="111">
        <v>5.0999999999999996</v>
      </c>
      <c r="D63" s="111">
        <v>5</v>
      </c>
      <c r="E63" s="111">
        <v>4.9000000000000004</v>
      </c>
      <c r="F63" s="111">
        <v>4.8</v>
      </c>
      <c r="G63" s="111">
        <v>4.7</v>
      </c>
      <c r="H63" s="111">
        <v>4.5999999999999996</v>
      </c>
      <c r="I63" s="111">
        <v>4.5</v>
      </c>
      <c r="J63" s="111">
        <v>4.5</v>
      </c>
      <c r="K63" s="111">
        <v>5</v>
      </c>
      <c r="L63" s="111">
        <v>5.5</v>
      </c>
      <c r="M63" s="111">
        <v>5.5</v>
      </c>
      <c r="N63" s="111">
        <v>6</v>
      </c>
      <c r="O63" s="111">
        <v>6</v>
      </c>
      <c r="P63" s="111">
        <v>6.5</v>
      </c>
      <c r="Q63" s="111">
        <v>7</v>
      </c>
      <c r="R63" s="111">
        <v>6.9</v>
      </c>
      <c r="S63" s="111">
        <v>6.8</v>
      </c>
      <c r="T63" s="111">
        <v>7.3</v>
      </c>
      <c r="U63" s="111">
        <v>7.8</v>
      </c>
      <c r="V63" s="111">
        <v>7.8</v>
      </c>
      <c r="W63" s="111">
        <v>7.8</v>
      </c>
      <c r="X63" s="111">
        <v>5.9</v>
      </c>
    </row>
    <row r="64" spans="1:24">
      <c r="A64" s="111" t="s">
        <v>84</v>
      </c>
      <c r="B64" s="111">
        <v>5.3</v>
      </c>
      <c r="C64" s="111">
        <v>5.3</v>
      </c>
      <c r="D64" s="111">
        <v>5.2</v>
      </c>
      <c r="E64" s="111">
        <v>5.2</v>
      </c>
      <c r="F64" s="111">
        <v>5.2</v>
      </c>
      <c r="G64" s="111">
        <v>5.0999999999999996</v>
      </c>
      <c r="H64" s="111">
        <v>5</v>
      </c>
      <c r="I64" s="111">
        <v>5</v>
      </c>
      <c r="J64" s="111">
        <v>5</v>
      </c>
      <c r="K64" s="111">
        <v>5</v>
      </c>
      <c r="L64" s="111">
        <v>4.9000000000000004</v>
      </c>
      <c r="M64" s="111">
        <v>4.9000000000000004</v>
      </c>
      <c r="N64" s="111">
        <v>5.4</v>
      </c>
      <c r="O64" s="111">
        <v>5.9</v>
      </c>
      <c r="P64" s="111">
        <v>5.9</v>
      </c>
      <c r="Q64" s="111">
        <v>6.4</v>
      </c>
      <c r="R64" s="111">
        <v>6.9</v>
      </c>
      <c r="S64" s="111">
        <v>6.9</v>
      </c>
      <c r="T64" s="111">
        <v>7.4</v>
      </c>
      <c r="U64" s="111">
        <v>7.3</v>
      </c>
      <c r="V64" s="111">
        <v>7.2</v>
      </c>
      <c r="W64" s="111">
        <v>7.2</v>
      </c>
      <c r="X64" s="111">
        <v>5.8</v>
      </c>
    </row>
    <row r="65" spans="1:24">
      <c r="A65" s="112" t="s">
        <v>55</v>
      </c>
      <c r="B65" s="111">
        <v>12.3</v>
      </c>
      <c r="C65" s="111">
        <v>12.3</v>
      </c>
      <c r="D65" s="111">
        <v>12.3</v>
      </c>
      <c r="E65" s="111">
        <v>12.3</v>
      </c>
      <c r="F65" s="111">
        <v>12.3</v>
      </c>
      <c r="G65" s="111">
        <v>12.3</v>
      </c>
      <c r="H65" s="111">
        <v>12.3</v>
      </c>
      <c r="I65" s="111">
        <v>12.3</v>
      </c>
      <c r="J65" s="111">
        <v>12.5</v>
      </c>
      <c r="K65" s="111">
        <v>12.7</v>
      </c>
      <c r="L65" s="111">
        <v>12.9</v>
      </c>
      <c r="M65" s="111">
        <v>13.1</v>
      </c>
      <c r="N65" s="111">
        <v>13.4</v>
      </c>
      <c r="O65" s="111">
        <v>13.7</v>
      </c>
      <c r="P65" s="111">
        <v>13.9</v>
      </c>
      <c r="Q65" s="111">
        <v>14.2</v>
      </c>
      <c r="R65" s="111">
        <v>14.4</v>
      </c>
      <c r="S65" s="111">
        <v>14.7</v>
      </c>
      <c r="T65" s="111">
        <v>14.9</v>
      </c>
      <c r="U65" s="111">
        <v>15.1</v>
      </c>
      <c r="V65" s="111">
        <v>15.4</v>
      </c>
      <c r="W65" s="111">
        <v>15.6</v>
      </c>
      <c r="X65" s="111"/>
    </row>
    <row r="66" spans="1:24" ht="23">
      <c r="A66" s="113" t="s">
        <v>89</v>
      </c>
    </row>
    <row r="67" spans="1:24" ht="18">
      <c r="A67" s="114" t="s">
        <v>90</v>
      </c>
    </row>
    <row r="68" spans="1:24" ht="18">
      <c r="A68" s="107" t="s">
        <v>91</v>
      </c>
    </row>
    <row r="69" spans="1:24" ht="18">
      <c r="A69" s="114" t="s">
        <v>92</v>
      </c>
    </row>
    <row r="70" spans="1:24" ht="18">
      <c r="A70" s="107" t="s">
        <v>93</v>
      </c>
    </row>
    <row r="71" spans="1:24" ht="18">
      <c r="A71" s="114" t="s">
        <v>94</v>
      </c>
    </row>
    <row r="72" spans="1:24" ht="18">
      <c r="A72" s="107" t="s">
        <v>103</v>
      </c>
    </row>
    <row r="73" spans="1:24">
      <c r="A73" s="2" t="s">
        <v>104</v>
      </c>
    </row>
    <row r="74" spans="1:24">
      <c r="A74" t="s">
        <v>98</v>
      </c>
    </row>
  </sheetData>
  <hyperlinks>
    <hyperlink ref="A1" r:id="rId1" display="https://f1fantasytools.com/team-calculator" xr:uid="{00000000-0004-0000-0000-000000000000}"/>
    <hyperlink ref="A2" r:id="rId2" display="https://f1fantasytools.com/budget-builder" xr:uid="{00000000-0004-0000-0000-000001000000}"/>
    <hyperlink ref="A3" r:id="rId3" display="https://f1fantasytools.com/live" xr:uid="{00000000-0004-0000-0000-000002000000}"/>
    <hyperlink ref="A4" r:id="rId4" display="https://f1fantasytools.com/season-summary" xr:uid="{00000000-0004-0000-0000-000003000000}"/>
    <hyperlink ref="A5" r:id="rId5" display="https://f1fantasytools.com/elite-data" xr:uid="{00000000-0004-0000-0000-000004000000}"/>
    <hyperlink ref="A6" r:id="rId6" display="https://f1fantasytools.com/statistics" xr:uid="{00000000-0004-0000-0000-000005000000}"/>
    <hyperlink ref="A7" r:id="rId7" display="https://f1fantasytools.com/team-analyzer" xr:uid="{00000000-0004-0000-0000-000006000000}"/>
    <hyperlink ref="A8" r:id="rId8" display="https://f1fantasytools.com/league-analyzer" xr:uid="{00000000-0004-0000-0000-000007000000}"/>
    <hyperlink ref="A9" r:id="rId9" display="https://f1fantasytools.com/hindsight" xr:uid="{00000000-0004-0000-0000-000008000000}"/>
    <hyperlink ref="A12" r:id="rId10" display="https://f1fantasytools.com/pricing" xr:uid="{00000000-0004-0000-0000-000009000000}"/>
    <hyperlink ref="A13" r:id="rId11" display="https://f1fantasytools.com/pricing" xr:uid="{00000000-0004-0000-0000-00000A000000}"/>
    <hyperlink ref="A14" r:id="rId12" display="https://f1fantasytools.com/login" xr:uid="{00000000-0004-0000-0000-00000B000000}"/>
    <hyperlink ref="A73" r:id="rId13" display="https://f1fantasytools.com/legal" xr:uid="{00000000-0004-0000-0000-00000C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5"/>
  </sheetPr>
  <dimension ref="A1:X76"/>
  <sheetViews>
    <sheetView topLeftCell="A24" workbookViewId="0">
      <selection activeCell="A31" sqref="A31:X53"/>
    </sheetView>
  </sheetViews>
  <sheetFormatPr baseColWidth="10" defaultRowHeight="16"/>
  <sheetData>
    <row r="1" spans="1:1">
      <c r="A1" s="2" t="s">
        <v>2</v>
      </c>
    </row>
    <row r="2" spans="1:1">
      <c r="A2" s="2" t="s">
        <v>3</v>
      </c>
    </row>
    <row r="3" spans="1:1">
      <c r="A3" s="2" t="s">
        <v>4</v>
      </c>
    </row>
    <row r="4" spans="1:1">
      <c r="A4" s="2" t="s">
        <v>5</v>
      </c>
    </row>
    <row r="5" spans="1:1">
      <c r="A5" s="2" t="s">
        <v>6</v>
      </c>
    </row>
    <row r="6" spans="1:1">
      <c r="A6" s="2" t="s">
        <v>7</v>
      </c>
    </row>
    <row r="7" spans="1:1">
      <c r="A7" s="2" t="s">
        <v>8</v>
      </c>
    </row>
    <row r="8" spans="1:1">
      <c r="A8" s="2" t="s">
        <v>9</v>
      </c>
    </row>
    <row r="9" spans="1:1">
      <c r="A9" s="2" t="s">
        <v>10</v>
      </c>
    </row>
    <row r="10" spans="1:1" ht="18">
      <c r="A10" s="107" t="s">
        <v>11</v>
      </c>
    </row>
    <row r="11" spans="1:1" ht="18">
      <c r="A11" s="108" t="s">
        <v>12</v>
      </c>
    </row>
    <row r="12" spans="1:1">
      <c r="A12" s="2" t="s">
        <v>13</v>
      </c>
    </row>
    <row r="13" spans="1:1">
      <c r="A13" s="2" t="s">
        <v>14</v>
      </c>
    </row>
    <row r="14" spans="1:1">
      <c r="A14" s="2" t="s">
        <v>16</v>
      </c>
    </row>
    <row r="15" spans="1:1" ht="18">
      <c r="A15" s="108" t="s">
        <v>18</v>
      </c>
    </row>
    <row r="17" spans="1:24" ht="23">
      <c r="A17" s="109" t="s">
        <v>7</v>
      </c>
    </row>
    <row r="19" spans="1:24" ht="18">
      <c r="A19" s="107" t="s">
        <v>20</v>
      </c>
    </row>
    <row r="20" spans="1:24" ht="18">
      <c r="A20" s="107" t="s">
        <v>21</v>
      </c>
    </row>
    <row r="22" spans="1:24" ht="18">
      <c r="A22" s="108" t="s">
        <v>113</v>
      </c>
    </row>
    <row r="23" spans="1:24" ht="18">
      <c r="A23" s="108" t="s">
        <v>23</v>
      </c>
    </row>
    <row r="24" spans="1:24" ht="18">
      <c r="A24" s="108" t="s">
        <v>24</v>
      </c>
    </row>
    <row r="25" spans="1:24" ht="18">
      <c r="A25" s="108" t="s">
        <v>25</v>
      </c>
    </row>
    <row r="26" spans="1:24" ht="18">
      <c r="A26" s="108" t="s">
        <v>26</v>
      </c>
    </row>
    <row r="27" spans="1:24" ht="18">
      <c r="A27" s="108" t="s">
        <v>112</v>
      </c>
    </row>
    <row r="28" spans="1:24" ht="18">
      <c r="A28" s="107" t="s">
        <v>101</v>
      </c>
    </row>
    <row r="29" spans="1:24" ht="18">
      <c r="A29" s="108" t="s">
        <v>29</v>
      </c>
    </row>
    <row r="30" spans="1:24">
      <c r="A30" s="110"/>
      <c r="B30" s="110"/>
      <c r="C30" s="110"/>
      <c r="D30" s="110"/>
      <c r="E30" s="110"/>
      <c r="F30" s="110"/>
      <c r="G30" s="110"/>
      <c r="H30" s="110"/>
      <c r="I30" s="110"/>
      <c r="J30" s="110"/>
      <c r="K30" s="110"/>
      <c r="L30" s="110"/>
      <c r="M30" s="110"/>
      <c r="N30" s="110"/>
      <c r="O30" s="110"/>
      <c r="P30" s="110"/>
      <c r="Q30" s="110"/>
      <c r="R30" s="110"/>
      <c r="S30" s="110"/>
      <c r="T30" s="110"/>
      <c r="U30" s="110"/>
      <c r="V30" s="110"/>
    </row>
    <row r="31" spans="1:24">
      <c r="A31" s="111" t="s">
        <v>56</v>
      </c>
      <c r="B31" s="111">
        <v>35</v>
      </c>
      <c r="C31" s="111">
        <v>61</v>
      </c>
      <c r="D31" s="111">
        <v>36</v>
      </c>
      <c r="E31" s="111">
        <v>37</v>
      </c>
      <c r="F31" s="111">
        <v>64</v>
      </c>
      <c r="G31" s="111">
        <v>35</v>
      </c>
      <c r="H31" s="111">
        <v>46</v>
      </c>
      <c r="I31" s="111">
        <v>35</v>
      </c>
      <c r="J31" s="111">
        <v>56</v>
      </c>
      <c r="K31" s="111">
        <v>46</v>
      </c>
      <c r="L31" s="111">
        <v>46</v>
      </c>
      <c r="M31" s="111">
        <v>68</v>
      </c>
      <c r="N31" s="111">
        <v>46</v>
      </c>
      <c r="O31" s="111">
        <v>38</v>
      </c>
      <c r="P31" s="111">
        <v>25</v>
      </c>
      <c r="Q31" s="111">
        <v>47</v>
      </c>
      <c r="R31" s="111">
        <v>62</v>
      </c>
      <c r="S31" s="111">
        <v>53</v>
      </c>
      <c r="T31" s="111">
        <v>42</v>
      </c>
      <c r="U31" s="111">
        <v>45</v>
      </c>
      <c r="V31" s="111">
        <v>44</v>
      </c>
      <c r="W31" s="111">
        <v>47</v>
      </c>
      <c r="X31" s="111">
        <v>46.1</v>
      </c>
    </row>
    <row r="32" spans="1:24">
      <c r="A32" s="111" t="s">
        <v>110</v>
      </c>
      <c r="B32" s="111">
        <v>28</v>
      </c>
      <c r="C32" s="111">
        <v>36</v>
      </c>
      <c r="D32" s="111">
        <v>52</v>
      </c>
      <c r="E32" s="111">
        <v>61</v>
      </c>
      <c r="F32" s="111">
        <v>28</v>
      </c>
      <c r="G32" s="111">
        <v>10</v>
      </c>
      <c r="H32" s="111">
        <v>27</v>
      </c>
      <c r="I32" s="111">
        <v>28</v>
      </c>
      <c r="J32" s="111">
        <v>51</v>
      </c>
      <c r="K32" s="111">
        <v>26</v>
      </c>
      <c r="L32" s="111">
        <v>39</v>
      </c>
      <c r="M32" s="111">
        <v>7</v>
      </c>
      <c r="N32" s="111">
        <v>30</v>
      </c>
      <c r="O32" s="111">
        <v>30</v>
      </c>
      <c r="P32" s="111">
        <v>16</v>
      </c>
      <c r="Q32" s="111">
        <v>-11</v>
      </c>
      <c r="R32" s="111">
        <v>-3</v>
      </c>
      <c r="S32" s="111">
        <v>32</v>
      </c>
      <c r="T32" s="111">
        <v>-10</v>
      </c>
      <c r="U32" s="111">
        <v>37</v>
      </c>
      <c r="V32" s="111">
        <v>35</v>
      </c>
      <c r="W32" s="111">
        <v>30</v>
      </c>
      <c r="X32" s="111">
        <v>26.3</v>
      </c>
    </row>
    <row r="33" spans="1:24">
      <c r="A33" s="111" t="s">
        <v>61</v>
      </c>
      <c r="B33" s="111">
        <v>19</v>
      </c>
      <c r="C33" s="111">
        <v>16</v>
      </c>
      <c r="D33" s="111">
        <v>29</v>
      </c>
      <c r="E33" s="111">
        <v>19</v>
      </c>
      <c r="F33" s="111">
        <v>24</v>
      </c>
      <c r="G33" s="111">
        <v>28</v>
      </c>
      <c r="H33" s="111">
        <v>39</v>
      </c>
      <c r="I33" s="111">
        <v>23</v>
      </c>
      <c r="J33" s="111">
        <v>31</v>
      </c>
      <c r="K33" s="111">
        <v>25</v>
      </c>
      <c r="L33" s="111">
        <v>20</v>
      </c>
      <c r="M33" s="111">
        <v>32</v>
      </c>
      <c r="N33" s="111">
        <v>29</v>
      </c>
      <c r="O33" s="111">
        <v>17</v>
      </c>
      <c r="P33" s="111">
        <v>39</v>
      </c>
      <c r="Q33" s="111">
        <v>20</v>
      </c>
      <c r="R33" s="111">
        <v>6</v>
      </c>
      <c r="S33" s="111">
        <v>-4</v>
      </c>
      <c r="T33" s="111">
        <v>41</v>
      </c>
      <c r="U33" s="111">
        <v>13</v>
      </c>
      <c r="V33" s="111">
        <v>26</v>
      </c>
      <c r="W33" s="111">
        <v>14</v>
      </c>
      <c r="X33" s="111">
        <v>23</v>
      </c>
    </row>
    <row r="34" spans="1:24">
      <c r="A34" s="111" t="s">
        <v>57</v>
      </c>
      <c r="B34" s="111">
        <v>-1</v>
      </c>
      <c r="C34" s="111">
        <v>7</v>
      </c>
      <c r="D34" s="111">
        <v>19</v>
      </c>
      <c r="E34" s="111">
        <v>0</v>
      </c>
      <c r="F34" s="111">
        <v>1</v>
      </c>
      <c r="G34" s="111">
        <v>6</v>
      </c>
      <c r="H34" s="111">
        <v>-2</v>
      </c>
      <c r="I34" s="111">
        <v>2</v>
      </c>
      <c r="J34" s="111">
        <v>29</v>
      </c>
      <c r="K34" s="111">
        <v>38</v>
      </c>
      <c r="L34" s="111">
        <v>29</v>
      </c>
      <c r="M34" s="111">
        <v>15</v>
      </c>
      <c r="N34" s="111">
        <v>25</v>
      </c>
      <c r="O34" s="111">
        <v>9</v>
      </c>
      <c r="P34" s="111">
        <v>30</v>
      </c>
      <c r="Q34" s="111">
        <v>31</v>
      </c>
      <c r="R34" s="111">
        <v>41</v>
      </c>
      <c r="S34" s="111">
        <v>46</v>
      </c>
      <c r="T34" s="111">
        <v>48</v>
      </c>
      <c r="U34" s="111">
        <v>57</v>
      </c>
      <c r="V34" s="111">
        <v>-14</v>
      </c>
      <c r="W34" s="111">
        <v>22</v>
      </c>
      <c r="X34" s="111">
        <v>19.899999999999999</v>
      </c>
    </row>
    <row r="35" spans="1:24">
      <c r="A35" s="111" t="s">
        <v>73</v>
      </c>
      <c r="B35" s="111">
        <v>39</v>
      </c>
      <c r="C35" s="111">
        <v>23</v>
      </c>
      <c r="D35" s="111">
        <v>23</v>
      </c>
      <c r="E35" s="111">
        <v>27</v>
      </c>
      <c r="F35" s="111">
        <v>25</v>
      </c>
      <c r="G35" s="111">
        <v>27</v>
      </c>
      <c r="H35" s="111">
        <v>14</v>
      </c>
      <c r="I35" s="111">
        <v>27</v>
      </c>
      <c r="J35" s="111">
        <v>28</v>
      </c>
      <c r="K35" s="111">
        <v>12</v>
      </c>
      <c r="L35" s="111">
        <v>7</v>
      </c>
      <c r="M35" s="111">
        <v>2</v>
      </c>
      <c r="N35" s="111">
        <v>62</v>
      </c>
      <c r="O35" s="111">
        <v>5</v>
      </c>
      <c r="P35" s="111">
        <v>-1</v>
      </c>
      <c r="Q35" s="111">
        <v>16</v>
      </c>
      <c r="R35" s="111">
        <v>25</v>
      </c>
      <c r="S35" s="111">
        <v>-9</v>
      </c>
      <c r="T35" s="111">
        <v>-16</v>
      </c>
      <c r="U35" s="111">
        <v>39</v>
      </c>
      <c r="V35" s="111">
        <v>12</v>
      </c>
      <c r="W35" s="111">
        <v>16</v>
      </c>
      <c r="X35" s="111">
        <v>18.3</v>
      </c>
    </row>
    <row r="36" spans="1:24">
      <c r="A36" s="111" t="s">
        <v>69</v>
      </c>
      <c r="B36" s="111">
        <v>19</v>
      </c>
      <c r="C36" s="111">
        <v>12</v>
      </c>
      <c r="D36" s="111">
        <v>8</v>
      </c>
      <c r="E36" s="111">
        <v>21</v>
      </c>
      <c r="F36" s="111">
        <v>20</v>
      </c>
      <c r="G36" s="111">
        <v>6</v>
      </c>
      <c r="H36" s="111">
        <v>19</v>
      </c>
      <c r="I36" s="111">
        <v>22</v>
      </c>
      <c r="J36" s="111">
        <v>31</v>
      </c>
      <c r="K36" s="111">
        <v>4</v>
      </c>
      <c r="L36" s="111">
        <v>12</v>
      </c>
      <c r="M36" s="111">
        <v>-8</v>
      </c>
      <c r="N36" s="111">
        <v>31</v>
      </c>
      <c r="O36" s="111">
        <v>38</v>
      </c>
      <c r="P36" s="111">
        <v>45</v>
      </c>
      <c r="Q36" s="111">
        <v>18</v>
      </c>
      <c r="R36" s="111">
        <v>-14</v>
      </c>
      <c r="S36" s="111">
        <v>32</v>
      </c>
      <c r="T36" s="111">
        <v>19</v>
      </c>
      <c r="U36" s="111">
        <v>21</v>
      </c>
      <c r="V36" s="111">
        <v>34</v>
      </c>
      <c r="W36" s="111">
        <v>4</v>
      </c>
      <c r="X36" s="111">
        <v>17.899999999999999</v>
      </c>
    </row>
    <row r="37" spans="1:24">
      <c r="A37" s="111" t="s">
        <v>59</v>
      </c>
      <c r="B37" s="111">
        <v>16</v>
      </c>
      <c r="C37" s="111">
        <v>18</v>
      </c>
      <c r="D37" s="111">
        <v>-7</v>
      </c>
      <c r="E37" s="111">
        <v>25</v>
      </c>
      <c r="F37" s="111">
        <v>28</v>
      </c>
      <c r="G37" s="111">
        <v>16</v>
      </c>
      <c r="H37" s="111">
        <v>31</v>
      </c>
      <c r="I37" s="111">
        <v>-12</v>
      </c>
      <c r="J37" s="111">
        <v>34</v>
      </c>
      <c r="K37" s="111">
        <v>18</v>
      </c>
      <c r="L37" s="111">
        <v>27</v>
      </c>
      <c r="M37" s="111">
        <v>28</v>
      </c>
      <c r="N37" s="111">
        <v>6</v>
      </c>
      <c r="O37" s="111">
        <v>17</v>
      </c>
      <c r="P37" s="111">
        <v>-2</v>
      </c>
      <c r="Q37" s="111">
        <v>14</v>
      </c>
      <c r="R37" s="111">
        <v>37</v>
      </c>
      <c r="S37" s="111">
        <v>25</v>
      </c>
      <c r="T37" s="111">
        <v>18</v>
      </c>
      <c r="U37" s="111">
        <v>1</v>
      </c>
      <c r="V37" s="111">
        <v>14</v>
      </c>
      <c r="W37" s="111">
        <v>32</v>
      </c>
      <c r="X37" s="111">
        <v>17.5</v>
      </c>
    </row>
    <row r="38" spans="1:24">
      <c r="A38" s="111" t="s">
        <v>60</v>
      </c>
      <c r="B38" s="111">
        <v>-11</v>
      </c>
      <c r="C38" s="111">
        <v>27</v>
      </c>
      <c r="D38" s="111">
        <v>-15</v>
      </c>
      <c r="E38" s="111">
        <v>29</v>
      </c>
      <c r="F38" s="111">
        <v>16</v>
      </c>
      <c r="G38" s="111">
        <v>16</v>
      </c>
      <c r="H38" s="111">
        <v>14</v>
      </c>
      <c r="I38" s="111">
        <v>19</v>
      </c>
      <c r="J38" s="111">
        <v>32</v>
      </c>
      <c r="K38" s="111">
        <v>6</v>
      </c>
      <c r="L38" s="111">
        <v>12</v>
      </c>
      <c r="M38" s="111">
        <v>26</v>
      </c>
      <c r="N38" s="111">
        <v>-7</v>
      </c>
      <c r="O38" s="111">
        <v>24</v>
      </c>
      <c r="P38" s="111">
        <v>22</v>
      </c>
      <c r="Q38" s="111">
        <v>22</v>
      </c>
      <c r="R38" s="111">
        <v>22</v>
      </c>
      <c r="S38" s="111">
        <v>-10</v>
      </c>
      <c r="T38" s="111">
        <v>24</v>
      </c>
      <c r="U38" s="111">
        <v>-3</v>
      </c>
      <c r="V38" s="111">
        <v>41</v>
      </c>
      <c r="W38" s="111">
        <v>29</v>
      </c>
      <c r="X38" s="111">
        <v>15.2</v>
      </c>
    </row>
    <row r="39" spans="1:24">
      <c r="A39" s="111" t="s">
        <v>58</v>
      </c>
      <c r="B39" s="111">
        <v>-16</v>
      </c>
      <c r="C39" s="111">
        <v>2</v>
      </c>
      <c r="D39" s="111">
        <v>16</v>
      </c>
      <c r="E39" s="111">
        <v>8</v>
      </c>
      <c r="F39" s="111">
        <v>5</v>
      </c>
      <c r="G39" s="111">
        <v>4</v>
      </c>
      <c r="H39" s="111">
        <v>3</v>
      </c>
      <c r="I39" s="111">
        <v>3</v>
      </c>
      <c r="J39" s="111">
        <v>20</v>
      </c>
      <c r="K39" s="111">
        <v>20</v>
      </c>
      <c r="L39" s="111">
        <v>18</v>
      </c>
      <c r="M39" s="111">
        <v>-7</v>
      </c>
      <c r="N39" s="111">
        <v>18</v>
      </c>
      <c r="O39" s="111">
        <v>15</v>
      </c>
      <c r="P39" s="111">
        <v>24</v>
      </c>
      <c r="Q39" s="111">
        <v>35</v>
      </c>
      <c r="R39" s="111">
        <v>56</v>
      </c>
      <c r="S39" s="111">
        <v>-20</v>
      </c>
      <c r="T39" s="111">
        <v>14</v>
      </c>
      <c r="U39" s="111">
        <v>3</v>
      </c>
      <c r="V39" s="111">
        <v>39</v>
      </c>
      <c r="W39" s="111">
        <v>19</v>
      </c>
      <c r="X39" s="111">
        <v>12.7</v>
      </c>
    </row>
    <row r="40" spans="1:24">
      <c r="A40" s="111" t="s">
        <v>68</v>
      </c>
      <c r="B40" s="111">
        <v>17</v>
      </c>
      <c r="C40" s="111">
        <v>-14</v>
      </c>
      <c r="D40" s="111">
        <v>21</v>
      </c>
      <c r="E40" s="111">
        <v>18</v>
      </c>
      <c r="F40" s="111">
        <v>12</v>
      </c>
      <c r="G40" s="111">
        <v>-17</v>
      </c>
      <c r="H40" s="111">
        <v>16</v>
      </c>
      <c r="I40" s="111">
        <v>14</v>
      </c>
      <c r="J40" s="111">
        <v>25</v>
      </c>
      <c r="K40" s="111">
        <v>2</v>
      </c>
      <c r="L40" s="111">
        <v>9</v>
      </c>
      <c r="M40" s="111">
        <v>12</v>
      </c>
      <c r="N40" s="111">
        <v>10</v>
      </c>
      <c r="O40" s="111">
        <v>7</v>
      </c>
      <c r="P40" s="111">
        <v>0</v>
      </c>
      <c r="Q40" s="111">
        <v>-14</v>
      </c>
      <c r="R40" s="111">
        <v>17</v>
      </c>
      <c r="S40" s="111">
        <v>10</v>
      </c>
      <c r="T40" s="111">
        <v>8</v>
      </c>
      <c r="U40" s="111">
        <v>28</v>
      </c>
      <c r="V40" s="111">
        <v>39</v>
      </c>
      <c r="W40" s="111">
        <v>11</v>
      </c>
      <c r="X40" s="111">
        <v>10.5</v>
      </c>
    </row>
    <row r="41" spans="1:24">
      <c r="A41" s="111" t="s">
        <v>72</v>
      </c>
      <c r="B41" s="111">
        <v>20</v>
      </c>
      <c r="C41" s="111">
        <v>6</v>
      </c>
      <c r="D41" s="111">
        <v>1</v>
      </c>
      <c r="E41" s="111">
        <v>17</v>
      </c>
      <c r="F41" s="111">
        <v>10</v>
      </c>
      <c r="G41" s="111">
        <v>10</v>
      </c>
      <c r="H41" s="111">
        <v>14</v>
      </c>
      <c r="I41" s="111">
        <v>8</v>
      </c>
      <c r="J41" s="111">
        <v>7</v>
      </c>
      <c r="K41" s="111">
        <v>-3</v>
      </c>
      <c r="L41" s="111">
        <v>-19</v>
      </c>
      <c r="M41" s="111">
        <v>17</v>
      </c>
      <c r="N41" s="111">
        <v>39</v>
      </c>
      <c r="O41" s="111">
        <v>3</v>
      </c>
      <c r="P41" s="111">
        <v>21</v>
      </c>
      <c r="Q41" s="111">
        <v>7</v>
      </c>
      <c r="R41" s="111">
        <v>11</v>
      </c>
      <c r="S41" s="111">
        <v>22</v>
      </c>
      <c r="T41" s="111">
        <v>10</v>
      </c>
      <c r="U41" s="111">
        <v>24</v>
      </c>
      <c r="V41" s="111">
        <v>1</v>
      </c>
      <c r="W41" s="111">
        <v>4</v>
      </c>
      <c r="X41" s="111">
        <v>10.5</v>
      </c>
    </row>
    <row r="42" spans="1:24">
      <c r="A42" s="111" t="s">
        <v>65</v>
      </c>
      <c r="B42" s="111">
        <v>8</v>
      </c>
      <c r="C42" s="111">
        <v>9</v>
      </c>
      <c r="D42" s="111">
        <v>7</v>
      </c>
      <c r="E42" s="111">
        <v>-13</v>
      </c>
      <c r="F42" s="111">
        <v>16</v>
      </c>
      <c r="G42" s="111">
        <v>-4</v>
      </c>
      <c r="H42" s="111">
        <v>11</v>
      </c>
      <c r="I42" s="111">
        <v>8</v>
      </c>
      <c r="J42" s="111">
        <v>4</v>
      </c>
      <c r="K42" s="111">
        <v>3</v>
      </c>
      <c r="L42" s="111">
        <v>5</v>
      </c>
      <c r="M42" s="111">
        <v>7</v>
      </c>
      <c r="N42" s="111">
        <v>16</v>
      </c>
      <c r="O42" s="111">
        <v>-20</v>
      </c>
      <c r="P42" s="111">
        <v>-17</v>
      </c>
      <c r="Q42" s="111">
        <v>2</v>
      </c>
      <c r="R42" s="111">
        <v>11</v>
      </c>
      <c r="S42" s="111">
        <v>30</v>
      </c>
      <c r="T42" s="111">
        <v>20</v>
      </c>
      <c r="U42" s="111">
        <v>22</v>
      </c>
      <c r="V42" s="111">
        <v>14</v>
      </c>
      <c r="W42" s="111">
        <v>21</v>
      </c>
      <c r="X42" s="111">
        <v>7.3</v>
      </c>
    </row>
    <row r="43" spans="1:24">
      <c r="A43" s="111" t="s">
        <v>107</v>
      </c>
      <c r="B43" s="111"/>
      <c r="C43" s="111"/>
      <c r="D43" s="111"/>
      <c r="E43" s="111"/>
      <c r="F43" s="111"/>
      <c r="G43" s="111"/>
      <c r="H43" s="111"/>
      <c r="I43" s="111"/>
      <c r="J43" s="111"/>
      <c r="K43" s="111"/>
      <c r="L43" s="111">
        <v>2</v>
      </c>
      <c r="M43" s="111">
        <v>7</v>
      </c>
      <c r="N43" s="111"/>
      <c r="O43" s="111"/>
      <c r="P43" s="111"/>
      <c r="Q43" s="111"/>
      <c r="R43" s="111"/>
      <c r="S43" s="111">
        <v>1</v>
      </c>
      <c r="T43" s="111">
        <v>12</v>
      </c>
      <c r="U43" s="111">
        <v>10</v>
      </c>
      <c r="V43" s="111">
        <v>6</v>
      </c>
      <c r="W43" s="111">
        <v>11</v>
      </c>
      <c r="X43" s="111">
        <v>7</v>
      </c>
    </row>
    <row r="44" spans="1:24">
      <c r="A44" s="111" t="s">
        <v>106</v>
      </c>
      <c r="B44" s="111">
        <v>15</v>
      </c>
      <c r="C44" s="111">
        <v>6</v>
      </c>
      <c r="D44" s="111">
        <v>15</v>
      </c>
      <c r="E44" s="111">
        <v>-10</v>
      </c>
      <c r="F44" s="111">
        <v>1</v>
      </c>
      <c r="G44" s="111">
        <v>11</v>
      </c>
      <c r="H44" s="111">
        <v>16</v>
      </c>
      <c r="I44" s="111">
        <v>4</v>
      </c>
      <c r="J44" s="111">
        <v>10</v>
      </c>
      <c r="K44" s="111">
        <v>6</v>
      </c>
      <c r="L44" s="111">
        <v>-4</v>
      </c>
      <c r="M44" s="111">
        <v>18</v>
      </c>
      <c r="N44" s="111">
        <v>-9</v>
      </c>
      <c r="O44" s="111">
        <v>3</v>
      </c>
      <c r="P44" s="111">
        <v>11</v>
      </c>
      <c r="Q44" s="111">
        <v>8</v>
      </c>
      <c r="R44" s="111">
        <v>19</v>
      </c>
      <c r="S44" s="111">
        <v>2</v>
      </c>
      <c r="T44" s="111">
        <v>2</v>
      </c>
      <c r="U44" s="111">
        <v>-11</v>
      </c>
      <c r="V44" s="111">
        <v>12</v>
      </c>
      <c r="W44" s="111">
        <v>10</v>
      </c>
      <c r="X44" s="111">
        <v>6.1</v>
      </c>
    </row>
    <row r="45" spans="1:24">
      <c r="A45" s="111" t="s">
        <v>64</v>
      </c>
      <c r="B45" s="111">
        <v>13</v>
      </c>
      <c r="C45" s="111">
        <v>-17</v>
      </c>
      <c r="D45" s="111">
        <v>-15</v>
      </c>
      <c r="E45" s="111">
        <v>2</v>
      </c>
      <c r="F45" s="111">
        <v>-1</v>
      </c>
      <c r="G45" s="111">
        <v>0</v>
      </c>
      <c r="H45" s="111">
        <v>5</v>
      </c>
      <c r="I45" s="111">
        <v>22</v>
      </c>
      <c r="J45" s="111">
        <v>11</v>
      </c>
      <c r="K45" s="111">
        <v>8</v>
      </c>
      <c r="L45" s="111">
        <v>8</v>
      </c>
      <c r="M45" s="111">
        <v>19</v>
      </c>
      <c r="N45" s="111">
        <v>17</v>
      </c>
      <c r="O45" s="111">
        <v>12</v>
      </c>
      <c r="P45" s="111">
        <v>12</v>
      </c>
      <c r="Q45" s="111">
        <v>-15</v>
      </c>
      <c r="R45" s="111">
        <v>23</v>
      </c>
      <c r="S45" s="111">
        <v>14</v>
      </c>
      <c r="T45" s="111">
        <v>13</v>
      </c>
      <c r="U45" s="111">
        <v>-11</v>
      </c>
      <c r="V45" s="111">
        <v>0</v>
      </c>
      <c r="W45" s="111">
        <v>6</v>
      </c>
      <c r="X45" s="111">
        <v>5.7</v>
      </c>
    </row>
    <row r="46" spans="1:24">
      <c r="A46" s="111" t="s">
        <v>66</v>
      </c>
      <c r="B46" s="111">
        <v>-17</v>
      </c>
      <c r="C46" s="111">
        <v>7</v>
      </c>
      <c r="D46" s="111">
        <v>2</v>
      </c>
      <c r="E46" s="111">
        <v>7</v>
      </c>
      <c r="F46" s="111">
        <v>8</v>
      </c>
      <c r="G46" s="111">
        <v>32</v>
      </c>
      <c r="H46" s="111">
        <v>9</v>
      </c>
      <c r="I46" s="111">
        <v>11</v>
      </c>
      <c r="J46" s="111">
        <v>9</v>
      </c>
      <c r="K46" s="111">
        <v>-18</v>
      </c>
      <c r="L46" s="111">
        <v>-19</v>
      </c>
      <c r="M46" s="111">
        <v>23</v>
      </c>
      <c r="N46" s="111">
        <v>26</v>
      </c>
      <c r="O46" s="111">
        <v>-18</v>
      </c>
      <c r="P46" s="111">
        <v>-13</v>
      </c>
      <c r="Q46" s="111">
        <v>10</v>
      </c>
      <c r="R46" s="111">
        <v>2</v>
      </c>
      <c r="S46" s="111">
        <v>-10</v>
      </c>
      <c r="T46" s="111">
        <v>10</v>
      </c>
      <c r="U46" s="111">
        <v>17</v>
      </c>
      <c r="V46" s="111">
        <v>40</v>
      </c>
      <c r="W46" s="111">
        <v>2</v>
      </c>
      <c r="X46" s="111">
        <v>5.5</v>
      </c>
    </row>
    <row r="47" spans="1:24">
      <c r="A47" s="111" t="s">
        <v>71</v>
      </c>
      <c r="B47" s="111"/>
      <c r="C47" s="111"/>
      <c r="D47" s="111"/>
      <c r="E47" s="111"/>
      <c r="F47" s="111"/>
      <c r="G47" s="111"/>
      <c r="H47" s="111"/>
      <c r="I47" s="111"/>
      <c r="J47" s="111"/>
      <c r="K47" s="111"/>
      <c r="L47" s="111"/>
      <c r="M47" s="111"/>
      <c r="N47" s="111">
        <v>19</v>
      </c>
      <c r="O47" s="111">
        <v>5</v>
      </c>
      <c r="P47" s="111">
        <v>8</v>
      </c>
      <c r="Q47" s="111">
        <v>5</v>
      </c>
      <c r="R47" s="111">
        <v>-16</v>
      </c>
      <c r="S47" s="111"/>
      <c r="T47" s="111"/>
      <c r="U47" s="111"/>
      <c r="V47" s="111"/>
      <c r="W47" s="111"/>
      <c r="X47" s="111">
        <v>4.2</v>
      </c>
    </row>
    <row r="48" spans="1:24">
      <c r="A48" s="111" t="s">
        <v>105</v>
      </c>
      <c r="B48" s="111">
        <v>8</v>
      </c>
      <c r="C48" s="111">
        <v>9</v>
      </c>
      <c r="D48" s="111">
        <v>2</v>
      </c>
      <c r="E48" s="111">
        <v>16</v>
      </c>
      <c r="F48" s="111">
        <v>6</v>
      </c>
      <c r="G48" s="111">
        <v>1</v>
      </c>
      <c r="H48" s="111">
        <v>9</v>
      </c>
      <c r="I48" s="111">
        <v>0</v>
      </c>
      <c r="J48" s="111">
        <v>13</v>
      </c>
      <c r="K48" s="111">
        <v>-19</v>
      </c>
      <c r="L48" s="111">
        <v>5</v>
      </c>
      <c r="M48" s="111">
        <v>9</v>
      </c>
      <c r="N48" s="111">
        <v>14</v>
      </c>
      <c r="O48" s="111">
        <v>1</v>
      </c>
      <c r="P48" s="111">
        <v>8</v>
      </c>
      <c r="Q48" s="111">
        <v>4</v>
      </c>
      <c r="R48" s="111">
        <v>23</v>
      </c>
      <c r="S48" s="111">
        <v>12</v>
      </c>
      <c r="T48" s="111">
        <v>-16</v>
      </c>
      <c r="U48" s="111">
        <v>-21</v>
      </c>
      <c r="V48" s="111">
        <v>5</v>
      </c>
      <c r="W48" s="111">
        <v>0</v>
      </c>
      <c r="X48" s="111">
        <v>4</v>
      </c>
    </row>
    <row r="49" spans="1:24">
      <c r="A49" s="111" t="s">
        <v>67</v>
      </c>
      <c r="B49" s="111">
        <v>-1</v>
      </c>
      <c r="C49" s="111">
        <v>1</v>
      </c>
      <c r="D49" s="111">
        <v>11</v>
      </c>
      <c r="E49" s="111">
        <v>2</v>
      </c>
      <c r="F49" s="111">
        <v>4</v>
      </c>
      <c r="G49" s="111">
        <v>7</v>
      </c>
      <c r="H49" s="111">
        <v>3</v>
      </c>
      <c r="I49" s="111">
        <v>-1</v>
      </c>
      <c r="J49" s="111">
        <v>-4</v>
      </c>
      <c r="K49" s="111">
        <v>0</v>
      </c>
      <c r="L49" s="111">
        <v>0</v>
      </c>
      <c r="M49" s="111">
        <v>13</v>
      </c>
      <c r="N49" s="111">
        <v>11</v>
      </c>
      <c r="O49" s="111">
        <v>-2</v>
      </c>
      <c r="P49" s="111">
        <v>0</v>
      </c>
      <c r="Q49" s="111">
        <v>10</v>
      </c>
      <c r="R49" s="111">
        <v>-18</v>
      </c>
      <c r="S49" s="111">
        <v>17</v>
      </c>
      <c r="T49" s="111">
        <v>8</v>
      </c>
      <c r="U49" s="111">
        <v>-1</v>
      </c>
      <c r="V49" s="111">
        <v>2</v>
      </c>
      <c r="W49" s="111">
        <v>-3</v>
      </c>
      <c r="X49" s="111">
        <v>2.7</v>
      </c>
    </row>
    <row r="50" spans="1:24">
      <c r="A50" s="111" t="s">
        <v>114</v>
      </c>
      <c r="B50" s="111">
        <v>8</v>
      </c>
      <c r="C50" s="111">
        <v>7</v>
      </c>
      <c r="D50" s="111">
        <v>3</v>
      </c>
      <c r="E50" s="111">
        <v>-15</v>
      </c>
      <c r="F50" s="111">
        <v>0</v>
      </c>
      <c r="G50" s="111">
        <v>0</v>
      </c>
      <c r="H50" s="111">
        <v>6</v>
      </c>
      <c r="I50" s="111">
        <v>-1</v>
      </c>
      <c r="J50" s="111">
        <v>9</v>
      </c>
      <c r="K50" s="111">
        <v>3</v>
      </c>
      <c r="L50" s="111"/>
      <c r="M50" s="111"/>
      <c r="N50" s="111"/>
      <c r="O50" s="111"/>
      <c r="P50" s="111"/>
      <c r="Q50" s="111"/>
      <c r="R50" s="111"/>
      <c r="S50" s="111"/>
      <c r="T50" s="111"/>
      <c r="U50" s="111"/>
      <c r="V50" s="111"/>
      <c r="W50" s="111"/>
      <c r="X50" s="111">
        <v>2</v>
      </c>
    </row>
    <row r="51" spans="1:24">
      <c r="A51" s="111" t="s">
        <v>108</v>
      </c>
      <c r="B51" s="111">
        <v>13</v>
      </c>
      <c r="C51" s="111">
        <v>-2</v>
      </c>
      <c r="D51" s="111">
        <v>12</v>
      </c>
      <c r="E51" s="111">
        <v>-1</v>
      </c>
      <c r="F51" s="111">
        <v>2</v>
      </c>
      <c r="G51" s="111">
        <v>10</v>
      </c>
      <c r="H51" s="111">
        <v>2</v>
      </c>
      <c r="I51" s="111">
        <v>6</v>
      </c>
      <c r="J51" s="111">
        <v>5</v>
      </c>
      <c r="K51" s="111">
        <v>-5</v>
      </c>
      <c r="L51" s="111">
        <v>0</v>
      </c>
      <c r="M51" s="111">
        <v>7</v>
      </c>
      <c r="N51" s="111">
        <v>14</v>
      </c>
      <c r="O51" s="111">
        <v>8</v>
      </c>
      <c r="P51" s="111">
        <v>-18</v>
      </c>
      <c r="Q51" s="111">
        <v>-17</v>
      </c>
      <c r="R51" s="111">
        <v>15</v>
      </c>
      <c r="S51" s="111">
        <v>10</v>
      </c>
      <c r="T51" s="111">
        <v>2</v>
      </c>
      <c r="U51" s="111">
        <v>-19</v>
      </c>
      <c r="V51" s="111">
        <v>-5</v>
      </c>
      <c r="W51" s="111">
        <v>4</v>
      </c>
      <c r="X51" s="111">
        <v>2</v>
      </c>
    </row>
    <row r="52" spans="1:24">
      <c r="A52" s="111" t="s">
        <v>109</v>
      </c>
      <c r="B52" s="111">
        <v>11</v>
      </c>
      <c r="C52" s="111">
        <v>2</v>
      </c>
      <c r="D52" s="111">
        <v>5</v>
      </c>
      <c r="E52" s="111">
        <v>0</v>
      </c>
      <c r="F52" s="111">
        <v>1</v>
      </c>
      <c r="G52" s="111">
        <v>0</v>
      </c>
      <c r="H52" s="111">
        <v>1</v>
      </c>
      <c r="I52" s="111">
        <v>-19</v>
      </c>
      <c r="J52" s="111">
        <v>19</v>
      </c>
      <c r="K52" s="111">
        <v>6</v>
      </c>
      <c r="L52" s="111">
        <v>2</v>
      </c>
      <c r="M52" s="111">
        <v>3</v>
      </c>
      <c r="N52" s="111">
        <v>-18</v>
      </c>
      <c r="O52" s="111">
        <v>3</v>
      </c>
      <c r="P52" s="111">
        <v>6</v>
      </c>
      <c r="Q52" s="111">
        <v>-21</v>
      </c>
      <c r="R52" s="111">
        <v>-34</v>
      </c>
      <c r="S52" s="111">
        <v>16</v>
      </c>
      <c r="T52" s="111">
        <v>6</v>
      </c>
      <c r="U52" s="111">
        <v>12</v>
      </c>
      <c r="V52" s="111">
        <v>-3</v>
      </c>
      <c r="W52" s="111">
        <v>5</v>
      </c>
      <c r="X52" s="111">
        <v>0.1</v>
      </c>
    </row>
    <row r="53" spans="1:24">
      <c r="A53" s="112" t="s">
        <v>55</v>
      </c>
      <c r="B53" s="111">
        <v>11.2</v>
      </c>
      <c r="C53" s="111">
        <v>10.8</v>
      </c>
      <c r="D53" s="111">
        <v>11.3</v>
      </c>
      <c r="E53" s="111">
        <v>12.5</v>
      </c>
      <c r="F53" s="111">
        <v>13.5</v>
      </c>
      <c r="G53" s="111">
        <v>9.9</v>
      </c>
      <c r="H53" s="111">
        <v>14.2</v>
      </c>
      <c r="I53" s="111">
        <v>9.9</v>
      </c>
      <c r="J53" s="111">
        <v>21</v>
      </c>
      <c r="K53" s="111">
        <v>8.9</v>
      </c>
      <c r="L53" s="111">
        <v>9.9</v>
      </c>
      <c r="M53" s="111">
        <v>14.9</v>
      </c>
      <c r="N53" s="111">
        <v>18.899999999999999</v>
      </c>
      <c r="O53" s="111">
        <v>9.8000000000000007</v>
      </c>
      <c r="P53" s="111">
        <v>10.8</v>
      </c>
      <c r="Q53" s="111">
        <v>8.6</v>
      </c>
      <c r="R53" s="111">
        <v>14.3</v>
      </c>
      <c r="S53" s="111">
        <v>13.4</v>
      </c>
      <c r="T53" s="111">
        <v>12.8</v>
      </c>
      <c r="U53" s="111">
        <v>13.2</v>
      </c>
      <c r="V53" s="111">
        <v>17.100000000000001</v>
      </c>
      <c r="W53" s="111">
        <v>14.2</v>
      </c>
      <c r="X53" s="111"/>
    </row>
    <row r="54" spans="1:24" ht="18">
      <c r="A54" s="107" t="s">
        <v>102</v>
      </c>
    </row>
    <row r="55" spans="1:24" ht="18">
      <c r="A55" s="108" t="s">
        <v>29</v>
      </c>
    </row>
    <row r="56" spans="1:24">
      <c r="A56" s="110"/>
      <c r="B56" s="110"/>
      <c r="C56" s="110"/>
      <c r="D56" s="110"/>
      <c r="E56" s="110"/>
      <c r="F56" s="110"/>
      <c r="G56" s="110"/>
      <c r="H56" s="110"/>
      <c r="I56" s="110"/>
      <c r="J56" s="110"/>
      <c r="K56" s="110"/>
      <c r="L56" s="110"/>
      <c r="M56" s="110"/>
      <c r="N56" s="110"/>
      <c r="O56" s="110"/>
      <c r="P56" s="110"/>
      <c r="Q56" s="110"/>
      <c r="R56" s="110"/>
      <c r="S56" s="110"/>
      <c r="T56" s="110"/>
      <c r="U56" s="110"/>
      <c r="V56" s="110"/>
    </row>
    <row r="57" spans="1:24">
      <c r="A57" s="111" t="s">
        <v>80</v>
      </c>
      <c r="B57" s="111">
        <v>78</v>
      </c>
      <c r="C57" s="111">
        <v>95</v>
      </c>
      <c r="D57" s="111">
        <v>98</v>
      </c>
      <c r="E57" s="111">
        <v>108</v>
      </c>
      <c r="F57" s="111">
        <v>97</v>
      </c>
      <c r="G57" s="111">
        <v>63</v>
      </c>
      <c r="H57" s="111">
        <v>96</v>
      </c>
      <c r="I57" s="111">
        <v>86</v>
      </c>
      <c r="J57" s="111">
        <v>112</v>
      </c>
      <c r="K57" s="111">
        <v>77</v>
      </c>
      <c r="L57" s="111">
        <v>95</v>
      </c>
      <c r="M57" s="111">
        <v>80</v>
      </c>
      <c r="N57" s="111">
        <v>101</v>
      </c>
      <c r="O57" s="111">
        <v>81</v>
      </c>
      <c r="P57" s="111">
        <v>54</v>
      </c>
      <c r="Q57" s="111">
        <v>46</v>
      </c>
      <c r="R57" s="111">
        <v>64</v>
      </c>
      <c r="S57" s="111">
        <v>95</v>
      </c>
      <c r="T57" s="111">
        <v>45</v>
      </c>
      <c r="U57" s="111">
        <v>105</v>
      </c>
      <c r="V57" s="111">
        <v>84</v>
      </c>
      <c r="W57" s="111">
        <v>87</v>
      </c>
      <c r="X57" s="111">
        <v>84</v>
      </c>
    </row>
    <row r="58" spans="1:24">
      <c r="A58" s="111" t="s">
        <v>81</v>
      </c>
      <c r="B58" s="111">
        <v>45</v>
      </c>
      <c r="C58" s="111">
        <v>44</v>
      </c>
      <c r="D58" s="111">
        <v>32</v>
      </c>
      <c r="E58" s="111">
        <v>49</v>
      </c>
      <c r="F58" s="111">
        <v>57</v>
      </c>
      <c r="G58" s="111">
        <v>54</v>
      </c>
      <c r="H58" s="111">
        <v>65</v>
      </c>
      <c r="I58" s="111">
        <v>21</v>
      </c>
      <c r="J58" s="111">
        <v>70</v>
      </c>
      <c r="K58" s="111">
        <v>53</v>
      </c>
      <c r="L58" s="111">
        <v>52</v>
      </c>
      <c r="M58" s="111">
        <v>70</v>
      </c>
      <c r="N58" s="111">
        <v>40</v>
      </c>
      <c r="O58" s="111">
        <v>44</v>
      </c>
      <c r="P58" s="111">
        <v>47</v>
      </c>
      <c r="Q58" s="111">
        <v>44</v>
      </c>
      <c r="R58" s="111">
        <v>53</v>
      </c>
      <c r="S58" s="111">
        <v>21</v>
      </c>
      <c r="T58" s="111">
        <v>69</v>
      </c>
      <c r="U58" s="111">
        <v>24</v>
      </c>
      <c r="V58" s="111">
        <v>45</v>
      </c>
      <c r="W58" s="111">
        <v>51</v>
      </c>
      <c r="X58" s="111">
        <v>47.7</v>
      </c>
    </row>
    <row r="59" spans="1:24">
      <c r="A59" s="111" t="s">
        <v>82</v>
      </c>
      <c r="B59" s="111">
        <v>31</v>
      </c>
      <c r="C59" s="111">
        <v>59</v>
      </c>
      <c r="D59" s="111">
        <v>3</v>
      </c>
      <c r="E59" s="111">
        <v>63</v>
      </c>
      <c r="F59" s="111">
        <v>56</v>
      </c>
      <c r="G59" s="111">
        <v>37</v>
      </c>
      <c r="H59" s="111">
        <v>38</v>
      </c>
      <c r="I59" s="111">
        <v>46</v>
      </c>
      <c r="J59" s="111">
        <v>73</v>
      </c>
      <c r="K59" s="111">
        <v>25</v>
      </c>
      <c r="L59" s="111">
        <v>32</v>
      </c>
      <c r="M59" s="111">
        <v>38</v>
      </c>
      <c r="N59" s="111">
        <v>34</v>
      </c>
      <c r="O59" s="111">
        <v>67</v>
      </c>
      <c r="P59" s="111">
        <v>70</v>
      </c>
      <c r="Q59" s="111">
        <v>65</v>
      </c>
      <c r="R59" s="111">
        <v>18</v>
      </c>
      <c r="S59" s="111">
        <v>25</v>
      </c>
      <c r="T59" s="111">
        <v>63</v>
      </c>
      <c r="U59" s="111">
        <v>28</v>
      </c>
      <c r="V59" s="111">
        <v>78</v>
      </c>
      <c r="W59" s="111">
        <v>48</v>
      </c>
      <c r="X59" s="111">
        <v>45.3</v>
      </c>
    </row>
    <row r="60" spans="1:24">
      <c r="A60" s="111" t="s">
        <v>79</v>
      </c>
      <c r="B60" s="111">
        <v>-16</v>
      </c>
      <c r="C60" s="111">
        <v>14</v>
      </c>
      <c r="D60" s="111">
        <v>36</v>
      </c>
      <c r="E60" s="111">
        <v>23</v>
      </c>
      <c r="F60" s="111">
        <v>8</v>
      </c>
      <c r="G60" s="111">
        <v>15</v>
      </c>
      <c r="H60" s="111">
        <v>11</v>
      </c>
      <c r="I60" s="111">
        <v>15</v>
      </c>
      <c r="J60" s="111">
        <v>54</v>
      </c>
      <c r="K60" s="111">
        <v>68</v>
      </c>
      <c r="L60" s="111">
        <v>62</v>
      </c>
      <c r="M60" s="111">
        <v>18</v>
      </c>
      <c r="N60" s="111">
        <v>56</v>
      </c>
      <c r="O60" s="111">
        <v>44</v>
      </c>
      <c r="P60" s="111">
        <v>64</v>
      </c>
      <c r="Q60" s="111">
        <v>66</v>
      </c>
      <c r="R60" s="111">
        <v>110</v>
      </c>
      <c r="S60" s="111">
        <v>36</v>
      </c>
      <c r="T60" s="111">
        <v>57</v>
      </c>
      <c r="U60" s="111">
        <v>65</v>
      </c>
      <c r="V60" s="111">
        <v>34</v>
      </c>
      <c r="W60" s="111">
        <v>59</v>
      </c>
      <c r="X60" s="111">
        <v>40.9</v>
      </c>
    </row>
    <row r="61" spans="1:24">
      <c r="A61" s="111" t="s">
        <v>86</v>
      </c>
      <c r="B61" s="111">
        <v>56</v>
      </c>
      <c r="C61" s="111">
        <v>19</v>
      </c>
      <c r="D61" s="111">
        <v>54</v>
      </c>
      <c r="E61" s="111">
        <v>55</v>
      </c>
      <c r="F61" s="111">
        <v>42</v>
      </c>
      <c r="G61" s="111">
        <v>15</v>
      </c>
      <c r="H61" s="111">
        <v>40</v>
      </c>
      <c r="I61" s="111">
        <v>46</v>
      </c>
      <c r="J61" s="111">
        <v>63</v>
      </c>
      <c r="K61" s="111">
        <v>22</v>
      </c>
      <c r="L61" s="111">
        <v>21</v>
      </c>
      <c r="M61" s="111">
        <v>24</v>
      </c>
      <c r="N61" s="111">
        <v>67</v>
      </c>
      <c r="O61" s="111">
        <v>17</v>
      </c>
      <c r="P61" s="111">
        <v>4</v>
      </c>
      <c r="Q61" s="111">
        <v>7</v>
      </c>
      <c r="R61" s="111">
        <v>47</v>
      </c>
      <c r="S61" s="111">
        <v>0</v>
      </c>
      <c r="T61" s="111">
        <v>-7</v>
      </c>
      <c r="U61" s="111">
        <v>77</v>
      </c>
      <c r="V61" s="111">
        <v>56</v>
      </c>
      <c r="W61" s="111">
        <v>32</v>
      </c>
      <c r="X61" s="111">
        <v>34.4</v>
      </c>
    </row>
    <row r="62" spans="1:24">
      <c r="A62" s="111" t="s">
        <v>88</v>
      </c>
      <c r="B62" s="111">
        <v>8</v>
      </c>
      <c r="C62" s="111">
        <v>28</v>
      </c>
      <c r="D62" s="111">
        <v>11</v>
      </c>
      <c r="E62" s="111">
        <v>25</v>
      </c>
      <c r="F62" s="111">
        <v>28</v>
      </c>
      <c r="G62" s="111">
        <v>42</v>
      </c>
      <c r="H62" s="111">
        <v>33</v>
      </c>
      <c r="I62" s="111">
        <v>24</v>
      </c>
      <c r="J62" s="111">
        <v>21</v>
      </c>
      <c r="K62" s="111">
        <v>-16</v>
      </c>
      <c r="L62" s="111">
        <v>-35</v>
      </c>
      <c r="M62" s="111">
        <v>43</v>
      </c>
      <c r="N62" s="111">
        <v>66</v>
      </c>
      <c r="O62" s="111">
        <v>-16</v>
      </c>
      <c r="P62" s="111">
        <v>13</v>
      </c>
      <c r="Q62" s="111">
        <v>20</v>
      </c>
      <c r="R62" s="111">
        <v>23</v>
      </c>
      <c r="S62" s="111">
        <v>27</v>
      </c>
      <c r="T62" s="111">
        <v>21</v>
      </c>
      <c r="U62" s="111">
        <v>44</v>
      </c>
      <c r="V62" s="111">
        <v>46</v>
      </c>
      <c r="W62" s="111">
        <v>11</v>
      </c>
      <c r="X62" s="111">
        <v>21.2</v>
      </c>
    </row>
    <row r="63" spans="1:24">
      <c r="A63" s="111" t="s">
        <v>115</v>
      </c>
      <c r="B63" s="111">
        <v>17</v>
      </c>
      <c r="C63" s="111">
        <v>15</v>
      </c>
      <c r="D63" s="111">
        <v>13</v>
      </c>
      <c r="E63" s="111">
        <v>-23</v>
      </c>
      <c r="F63" s="111">
        <v>17</v>
      </c>
      <c r="G63" s="111">
        <v>1</v>
      </c>
      <c r="H63" s="111">
        <v>20</v>
      </c>
      <c r="I63" s="111">
        <v>6</v>
      </c>
      <c r="J63" s="111">
        <v>20</v>
      </c>
      <c r="K63" s="111">
        <v>5</v>
      </c>
      <c r="L63" s="111">
        <v>8</v>
      </c>
      <c r="M63" s="111">
        <v>18</v>
      </c>
      <c r="N63" s="111">
        <v>40</v>
      </c>
      <c r="O63" s="111">
        <v>-12</v>
      </c>
      <c r="P63" s="111">
        <v>-4</v>
      </c>
      <c r="Q63" s="111">
        <v>15</v>
      </c>
      <c r="R63" s="111">
        <v>-4</v>
      </c>
      <c r="S63" s="111">
        <v>34</v>
      </c>
      <c r="T63" s="111">
        <v>42</v>
      </c>
      <c r="U63" s="111">
        <v>31</v>
      </c>
      <c r="V63" s="111">
        <v>26</v>
      </c>
      <c r="W63" s="111">
        <v>27</v>
      </c>
      <c r="X63" s="111">
        <v>14.2</v>
      </c>
    </row>
    <row r="64" spans="1:24">
      <c r="A64" s="111" t="s">
        <v>116</v>
      </c>
      <c r="B64" s="111">
        <v>31</v>
      </c>
      <c r="C64" s="111">
        <v>7</v>
      </c>
      <c r="D64" s="111">
        <v>26</v>
      </c>
      <c r="E64" s="111">
        <v>-10</v>
      </c>
      <c r="F64" s="111">
        <v>8</v>
      </c>
      <c r="G64" s="111">
        <v>22</v>
      </c>
      <c r="H64" s="111">
        <v>19</v>
      </c>
      <c r="I64" s="111">
        <v>11</v>
      </c>
      <c r="J64" s="111">
        <v>16</v>
      </c>
      <c r="K64" s="111">
        <v>-5</v>
      </c>
      <c r="L64" s="111">
        <v>6</v>
      </c>
      <c r="M64" s="111">
        <v>26</v>
      </c>
      <c r="N64" s="111">
        <v>4</v>
      </c>
      <c r="O64" s="111">
        <v>12</v>
      </c>
      <c r="P64" s="111">
        <v>-8</v>
      </c>
      <c r="Q64" s="111">
        <v>-10</v>
      </c>
      <c r="R64" s="111">
        <v>39</v>
      </c>
      <c r="S64" s="111">
        <v>15</v>
      </c>
      <c r="T64" s="111">
        <v>14</v>
      </c>
      <c r="U64" s="111">
        <v>-31</v>
      </c>
      <c r="V64" s="111">
        <v>12</v>
      </c>
      <c r="W64" s="111">
        <v>13</v>
      </c>
      <c r="X64" s="111">
        <v>9.9</v>
      </c>
    </row>
    <row r="65" spans="1:24">
      <c r="A65" s="111" t="s">
        <v>84</v>
      </c>
      <c r="B65" s="111">
        <v>12</v>
      </c>
      <c r="C65" s="111">
        <v>13</v>
      </c>
      <c r="D65" s="111">
        <v>18</v>
      </c>
      <c r="E65" s="111">
        <v>17</v>
      </c>
      <c r="F65" s="111">
        <v>15</v>
      </c>
      <c r="G65" s="111">
        <v>7</v>
      </c>
      <c r="H65" s="111">
        <v>17</v>
      </c>
      <c r="I65" s="111">
        <v>4</v>
      </c>
      <c r="J65" s="111">
        <v>14</v>
      </c>
      <c r="K65" s="111">
        <v>-18</v>
      </c>
      <c r="L65" s="111">
        <v>10</v>
      </c>
      <c r="M65" s="111">
        <v>23</v>
      </c>
      <c r="N65" s="111">
        <v>26</v>
      </c>
      <c r="O65" s="111">
        <v>0</v>
      </c>
      <c r="P65" s="111">
        <v>18</v>
      </c>
      <c r="Q65" s="111">
        <v>15</v>
      </c>
      <c r="R65" s="111">
        <v>6</v>
      </c>
      <c r="S65" s="111">
        <v>30</v>
      </c>
      <c r="T65" s="111">
        <v>-7</v>
      </c>
      <c r="U65" s="111">
        <v>-19</v>
      </c>
      <c r="V65" s="111">
        <v>12</v>
      </c>
      <c r="W65" s="111">
        <v>2</v>
      </c>
      <c r="X65" s="111">
        <v>9.8000000000000007</v>
      </c>
    </row>
    <row r="66" spans="1:24">
      <c r="A66" s="111" t="s">
        <v>83</v>
      </c>
      <c r="B66" s="111">
        <v>25</v>
      </c>
      <c r="C66" s="111">
        <v>-16</v>
      </c>
      <c r="D66" s="111">
        <v>-5</v>
      </c>
      <c r="E66" s="111">
        <v>5</v>
      </c>
      <c r="F66" s="111">
        <v>1</v>
      </c>
      <c r="G66" s="111">
        <v>1</v>
      </c>
      <c r="H66" s="111">
        <v>5</v>
      </c>
      <c r="I66" s="111">
        <v>-2</v>
      </c>
      <c r="J66" s="111">
        <v>35</v>
      </c>
      <c r="K66" s="111">
        <v>19</v>
      </c>
      <c r="L66" s="111">
        <v>9</v>
      </c>
      <c r="M66" s="111">
        <v>21</v>
      </c>
      <c r="N66" s="111">
        <v>9</v>
      </c>
      <c r="O66" s="111">
        <v>20</v>
      </c>
      <c r="P66" s="111">
        <v>19</v>
      </c>
      <c r="Q66" s="111">
        <v>-35</v>
      </c>
      <c r="R66" s="111">
        <v>-10</v>
      </c>
      <c r="S66" s="111">
        <v>29</v>
      </c>
      <c r="T66" s="111">
        <v>20</v>
      </c>
      <c r="U66" s="111">
        <v>2</v>
      </c>
      <c r="V66" s="111">
        <v>7</v>
      </c>
      <c r="W66" s="111">
        <v>12</v>
      </c>
      <c r="X66" s="111">
        <v>7.8</v>
      </c>
    </row>
    <row r="67" spans="1:24">
      <c r="A67" s="112" t="s">
        <v>55</v>
      </c>
      <c r="B67" s="111">
        <v>28.7</v>
      </c>
      <c r="C67" s="111">
        <v>27.8</v>
      </c>
      <c r="D67" s="111">
        <v>28.6</v>
      </c>
      <c r="E67" s="111">
        <v>31.2</v>
      </c>
      <c r="F67" s="111">
        <v>32.9</v>
      </c>
      <c r="G67" s="111">
        <v>25.7</v>
      </c>
      <c r="H67" s="111">
        <v>34.4</v>
      </c>
      <c r="I67" s="111">
        <v>25.7</v>
      </c>
      <c r="J67" s="111">
        <v>47.8</v>
      </c>
      <c r="K67" s="111">
        <v>23</v>
      </c>
      <c r="L67" s="111">
        <v>26</v>
      </c>
      <c r="M67" s="111">
        <v>36.1</v>
      </c>
      <c r="N67" s="111">
        <v>44.3</v>
      </c>
      <c r="O67" s="111">
        <v>25.7</v>
      </c>
      <c r="P67" s="111">
        <v>27.7</v>
      </c>
      <c r="Q67" s="111">
        <v>23.3</v>
      </c>
      <c r="R67" s="111">
        <v>34.6</v>
      </c>
      <c r="S67" s="111">
        <v>31.2</v>
      </c>
      <c r="T67" s="111">
        <v>31.7</v>
      </c>
      <c r="U67" s="111">
        <v>32.6</v>
      </c>
      <c r="V67" s="111">
        <v>40</v>
      </c>
      <c r="W67" s="111">
        <v>34.200000000000003</v>
      </c>
      <c r="X67" s="111"/>
    </row>
    <row r="68" spans="1:24" ht="23">
      <c r="A68" s="113" t="s">
        <v>89</v>
      </c>
    </row>
    <row r="69" spans="1:24" ht="18">
      <c r="A69" s="114" t="s">
        <v>90</v>
      </c>
    </row>
    <row r="70" spans="1:24" ht="18">
      <c r="A70" s="107" t="s">
        <v>91</v>
      </c>
    </row>
    <row r="71" spans="1:24" ht="18">
      <c r="A71" s="114" t="s">
        <v>92</v>
      </c>
    </row>
    <row r="72" spans="1:24" ht="18">
      <c r="A72" s="107" t="s">
        <v>93</v>
      </c>
    </row>
    <row r="73" spans="1:24" ht="18">
      <c r="A73" s="114" t="s">
        <v>94</v>
      </c>
    </row>
    <row r="74" spans="1:24" ht="18">
      <c r="A74" s="107" t="s">
        <v>103</v>
      </c>
    </row>
    <row r="75" spans="1:24">
      <c r="A75" s="2" t="s">
        <v>104</v>
      </c>
    </row>
    <row r="76" spans="1:24">
      <c r="A76" t="s">
        <v>98</v>
      </c>
    </row>
  </sheetData>
  <hyperlinks>
    <hyperlink ref="A1" r:id="rId1" display="https://f1fantasytools.com/team-calculator" xr:uid="{00000000-0004-0000-0100-000000000000}"/>
    <hyperlink ref="A2" r:id="rId2" display="https://f1fantasytools.com/budget-builder" xr:uid="{00000000-0004-0000-0100-000001000000}"/>
    <hyperlink ref="A3" r:id="rId3" display="https://f1fantasytools.com/live" xr:uid="{00000000-0004-0000-0100-000002000000}"/>
    <hyperlink ref="A4" r:id="rId4" display="https://f1fantasytools.com/season-summary" xr:uid="{00000000-0004-0000-0100-000003000000}"/>
    <hyperlink ref="A5" r:id="rId5" display="https://f1fantasytools.com/elite-data" xr:uid="{00000000-0004-0000-0100-000004000000}"/>
    <hyperlink ref="A6" r:id="rId6" display="https://f1fantasytools.com/statistics" xr:uid="{00000000-0004-0000-0100-000005000000}"/>
    <hyperlink ref="A7" r:id="rId7" display="https://f1fantasytools.com/team-analyzer" xr:uid="{00000000-0004-0000-0100-000006000000}"/>
    <hyperlink ref="A8" r:id="rId8" display="https://f1fantasytools.com/league-analyzer" xr:uid="{00000000-0004-0000-0100-000007000000}"/>
    <hyperlink ref="A9" r:id="rId9" display="https://f1fantasytools.com/hindsight" xr:uid="{00000000-0004-0000-0100-000008000000}"/>
    <hyperlink ref="A12" r:id="rId10" display="https://f1fantasytools.com/pricing" xr:uid="{00000000-0004-0000-0100-000009000000}"/>
    <hyperlink ref="A13" r:id="rId11" display="https://f1fantasytools.com/pricing" xr:uid="{00000000-0004-0000-0100-00000A000000}"/>
    <hyperlink ref="A14" r:id="rId12" display="https://f1fantasytools.com/login" xr:uid="{00000000-0004-0000-0100-00000B000000}"/>
    <hyperlink ref="A75" r:id="rId13" display="https://f1fantasytools.com/legal" xr:uid="{00000000-0004-0000-0100-00000C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5"/>
  </sheetPr>
  <dimension ref="A1:X24"/>
  <sheetViews>
    <sheetView workbookViewId="0">
      <selection activeCell="G41" sqref="G41"/>
    </sheetView>
  </sheetViews>
  <sheetFormatPr baseColWidth="10" defaultRowHeight="16"/>
  <sheetData>
    <row r="1" spans="1:24">
      <c r="B1">
        <v>1</v>
      </c>
      <c r="C1">
        <v>2</v>
      </c>
      <c r="D1">
        <v>3</v>
      </c>
      <c r="E1">
        <v>4</v>
      </c>
      <c r="F1">
        <v>5</v>
      </c>
      <c r="G1">
        <v>7</v>
      </c>
      <c r="H1">
        <v>8</v>
      </c>
      <c r="I1">
        <v>9</v>
      </c>
      <c r="J1">
        <v>10</v>
      </c>
      <c r="K1">
        <v>11</v>
      </c>
      <c r="L1">
        <v>12</v>
      </c>
      <c r="M1">
        <v>13</v>
      </c>
      <c r="N1">
        <v>14</v>
      </c>
      <c r="O1">
        <v>15</v>
      </c>
      <c r="P1">
        <v>16</v>
      </c>
      <c r="Q1">
        <v>17</v>
      </c>
      <c r="R1">
        <v>18</v>
      </c>
      <c r="S1">
        <v>19</v>
      </c>
      <c r="T1">
        <v>20</v>
      </c>
      <c r="U1">
        <v>21</v>
      </c>
      <c r="V1">
        <v>22</v>
      </c>
      <c r="W1">
        <v>23</v>
      </c>
    </row>
    <row r="2" spans="1:24">
      <c r="A2" s="111" t="s">
        <v>56</v>
      </c>
      <c r="B2" s="111">
        <v>26.9</v>
      </c>
      <c r="C2" s="111">
        <v>27</v>
      </c>
      <c r="D2" s="111">
        <v>27.1</v>
      </c>
      <c r="E2" s="111">
        <v>27.2</v>
      </c>
      <c r="F2" s="111">
        <v>27.3</v>
      </c>
      <c r="G2" s="111">
        <v>27.4</v>
      </c>
      <c r="H2" s="111">
        <v>27.5</v>
      </c>
      <c r="I2" s="111">
        <v>27.6</v>
      </c>
      <c r="J2" s="111">
        <v>27.8</v>
      </c>
      <c r="K2" s="111">
        <v>27.9</v>
      </c>
      <c r="L2" s="111">
        <v>28.1</v>
      </c>
      <c r="M2" s="111">
        <v>28.3</v>
      </c>
      <c r="N2" s="111">
        <v>28.5</v>
      </c>
      <c r="O2" s="111">
        <v>28.6</v>
      </c>
      <c r="P2" s="111">
        <v>28.8</v>
      </c>
      <c r="Q2" s="111">
        <v>28.9</v>
      </c>
      <c r="R2" s="111">
        <v>29.1</v>
      </c>
      <c r="S2" s="111">
        <v>29.3</v>
      </c>
      <c r="T2" s="111">
        <v>29.5</v>
      </c>
      <c r="U2" s="111">
        <v>29.7</v>
      </c>
      <c r="V2" s="111">
        <v>29.9</v>
      </c>
      <c r="W2" s="111">
        <v>30</v>
      </c>
      <c r="X2" s="111"/>
    </row>
    <row r="3" spans="1:24">
      <c r="A3" s="111" t="s">
        <v>61</v>
      </c>
      <c r="B3" s="111">
        <v>23.7</v>
      </c>
      <c r="C3" s="111">
        <v>23.7</v>
      </c>
      <c r="D3" s="111">
        <v>23.7</v>
      </c>
      <c r="E3" s="111">
        <v>23.8</v>
      </c>
      <c r="F3" s="111">
        <v>23.8</v>
      </c>
      <c r="G3" s="111">
        <v>23.8</v>
      </c>
      <c r="H3" s="111">
        <v>23.9</v>
      </c>
      <c r="I3" s="111">
        <v>24</v>
      </c>
      <c r="J3" s="111">
        <v>24.3</v>
      </c>
      <c r="K3" s="111">
        <v>24.4</v>
      </c>
      <c r="L3" s="111">
        <v>24.7</v>
      </c>
      <c r="M3" s="111">
        <v>25</v>
      </c>
      <c r="N3" s="111">
        <v>25.1</v>
      </c>
      <c r="O3" s="111">
        <v>25.2</v>
      </c>
      <c r="P3" s="111">
        <v>25.3</v>
      </c>
      <c r="Q3" s="111">
        <v>25.5</v>
      </c>
      <c r="R3" s="111">
        <v>25.6</v>
      </c>
      <c r="S3" s="111">
        <v>25.3</v>
      </c>
      <c r="T3" s="111">
        <v>25</v>
      </c>
      <c r="U3" s="111">
        <v>25.2</v>
      </c>
      <c r="V3" s="111">
        <v>25.2</v>
      </c>
      <c r="W3" s="111">
        <v>25.3</v>
      </c>
      <c r="X3" s="111"/>
    </row>
    <row r="4" spans="1:24">
      <c r="A4" s="111" t="s">
        <v>60</v>
      </c>
      <c r="B4" s="111">
        <v>21.2</v>
      </c>
      <c r="C4" s="111">
        <v>21.1</v>
      </c>
      <c r="D4" s="111">
        <v>21.2</v>
      </c>
      <c r="E4" s="111">
        <v>21.1</v>
      </c>
      <c r="F4" s="111">
        <v>21.2</v>
      </c>
      <c r="G4" s="111">
        <v>21.2</v>
      </c>
      <c r="H4" s="111">
        <v>21.2</v>
      </c>
      <c r="I4" s="111">
        <v>21.2</v>
      </c>
      <c r="J4" s="111">
        <v>21.5</v>
      </c>
      <c r="K4" s="111">
        <v>21.8</v>
      </c>
      <c r="L4" s="111">
        <v>21.9</v>
      </c>
      <c r="M4" s="111">
        <v>22</v>
      </c>
      <c r="N4" s="111">
        <v>22.3</v>
      </c>
      <c r="O4" s="111">
        <v>22.1</v>
      </c>
      <c r="P4" s="111">
        <v>22.4</v>
      </c>
      <c r="Q4" s="111">
        <v>22.7</v>
      </c>
      <c r="R4" s="111">
        <v>23</v>
      </c>
      <c r="S4" s="111">
        <v>23.3</v>
      </c>
      <c r="T4" s="111">
        <v>23.1</v>
      </c>
      <c r="U4" s="111">
        <v>23.4</v>
      </c>
      <c r="V4" s="111">
        <v>23.2</v>
      </c>
      <c r="W4" s="111">
        <v>23.5</v>
      </c>
      <c r="X4" s="111"/>
    </row>
    <row r="5" spans="1:24">
      <c r="A5" s="111" t="s">
        <v>110</v>
      </c>
      <c r="B5" s="111">
        <v>18</v>
      </c>
      <c r="C5" s="111">
        <v>18.100000000000001</v>
      </c>
      <c r="D5" s="111">
        <v>18.2</v>
      </c>
      <c r="E5" s="111">
        <v>18.3</v>
      </c>
      <c r="F5" s="111">
        <v>18.399999999999999</v>
      </c>
      <c r="G5" s="111">
        <v>18.399999999999999</v>
      </c>
      <c r="H5" s="111">
        <v>18.399999999999999</v>
      </c>
      <c r="I5" s="111">
        <v>18.399999999999999</v>
      </c>
      <c r="J5" s="111">
        <v>18.7</v>
      </c>
      <c r="K5" s="111">
        <v>19</v>
      </c>
      <c r="L5" s="111">
        <v>19.3</v>
      </c>
      <c r="M5" s="111">
        <v>20.3</v>
      </c>
      <c r="N5" s="111">
        <v>20.100000000000001</v>
      </c>
      <c r="O5" s="111">
        <v>20.399999999999999</v>
      </c>
      <c r="P5" s="111">
        <v>20.7</v>
      </c>
      <c r="Q5" s="111">
        <v>20.8</v>
      </c>
      <c r="R5" s="111">
        <v>20.3</v>
      </c>
      <c r="S5" s="111">
        <v>20.100000000000001</v>
      </c>
      <c r="T5" s="111">
        <v>20.399999999999999</v>
      </c>
      <c r="U5" s="111">
        <v>20.2</v>
      </c>
      <c r="V5" s="111">
        <v>20.5</v>
      </c>
      <c r="W5" s="111">
        <v>20.8</v>
      </c>
      <c r="X5" s="111"/>
    </row>
    <row r="6" spans="1:24">
      <c r="A6" s="111" t="s">
        <v>59</v>
      </c>
      <c r="B6" s="111">
        <v>18.600000000000001</v>
      </c>
      <c r="C6" s="111">
        <v>18.600000000000001</v>
      </c>
      <c r="D6" s="111">
        <v>18.600000000000001</v>
      </c>
      <c r="E6" s="111">
        <v>18.5</v>
      </c>
      <c r="F6" s="111">
        <v>18.600000000000001</v>
      </c>
      <c r="G6" s="111">
        <v>18.600000000000001</v>
      </c>
      <c r="H6" s="111">
        <v>18.600000000000001</v>
      </c>
      <c r="I6" s="111">
        <v>18.7</v>
      </c>
      <c r="J6" s="111">
        <v>18.2</v>
      </c>
      <c r="K6" s="111">
        <v>18.5</v>
      </c>
      <c r="L6" s="111">
        <v>18.8</v>
      </c>
      <c r="M6" s="111">
        <v>19.100000000000001</v>
      </c>
      <c r="N6" s="111">
        <v>19.399999999999999</v>
      </c>
      <c r="O6" s="111">
        <v>19.2</v>
      </c>
      <c r="P6" s="111">
        <v>19.5</v>
      </c>
      <c r="Q6" s="111">
        <v>19.3</v>
      </c>
      <c r="R6" s="111">
        <v>19.600000000000001</v>
      </c>
      <c r="S6" s="111">
        <v>19.899999999999999</v>
      </c>
      <c r="T6" s="111">
        <v>20.2</v>
      </c>
      <c r="U6" s="111">
        <v>20.3</v>
      </c>
      <c r="V6" s="111">
        <v>20.100000000000001</v>
      </c>
      <c r="W6" s="111">
        <v>20.2</v>
      </c>
      <c r="X6" s="111"/>
    </row>
    <row r="7" spans="1:24">
      <c r="A7" s="111" t="s">
        <v>69</v>
      </c>
      <c r="B7" s="111">
        <v>17.2</v>
      </c>
      <c r="C7" s="111">
        <v>17.2</v>
      </c>
      <c r="D7" s="111">
        <v>17.2</v>
      </c>
      <c r="E7" s="111">
        <v>17.2</v>
      </c>
      <c r="F7" s="111">
        <v>17.2</v>
      </c>
      <c r="G7" s="111">
        <v>17.2</v>
      </c>
      <c r="H7" s="111">
        <v>17.2</v>
      </c>
      <c r="I7" s="111">
        <v>17.2</v>
      </c>
      <c r="J7" s="111">
        <v>17.5</v>
      </c>
      <c r="K7" s="111">
        <v>17.600000000000001</v>
      </c>
      <c r="L7" s="111">
        <v>17.399999999999999</v>
      </c>
      <c r="M7" s="111">
        <v>17.5</v>
      </c>
      <c r="N7" s="111">
        <v>17.3</v>
      </c>
      <c r="O7" s="111">
        <v>17.600000000000001</v>
      </c>
      <c r="P7" s="111">
        <v>18.600000000000001</v>
      </c>
      <c r="Q7" s="111">
        <v>19.600000000000001</v>
      </c>
      <c r="R7" s="111">
        <v>19.899999999999999</v>
      </c>
      <c r="S7" s="111">
        <v>19.399999999999999</v>
      </c>
      <c r="T7" s="111">
        <v>19.7</v>
      </c>
      <c r="U7" s="111">
        <v>19.8</v>
      </c>
      <c r="V7" s="111">
        <v>20.100000000000001</v>
      </c>
      <c r="W7" s="111">
        <v>20.399999999999999</v>
      </c>
      <c r="X7" s="111"/>
    </row>
    <row r="8" spans="1:24">
      <c r="A8" s="111" t="s">
        <v>57</v>
      </c>
      <c r="B8" s="111">
        <v>11.2</v>
      </c>
      <c r="C8" s="111">
        <v>11.1</v>
      </c>
      <c r="D8" s="111">
        <v>11.1</v>
      </c>
      <c r="E8" s="111">
        <v>11.2</v>
      </c>
      <c r="F8" s="111">
        <v>11.1</v>
      </c>
      <c r="G8" s="111">
        <v>11</v>
      </c>
      <c r="H8" s="111">
        <v>11</v>
      </c>
      <c r="I8" s="111">
        <v>10.9</v>
      </c>
      <c r="J8" s="111">
        <v>10.9</v>
      </c>
      <c r="K8" s="111">
        <v>11.4</v>
      </c>
      <c r="L8" s="111">
        <v>12.9</v>
      </c>
      <c r="M8" s="111">
        <v>13.9</v>
      </c>
      <c r="N8" s="111">
        <v>14.4</v>
      </c>
      <c r="O8" s="111">
        <v>14.9</v>
      </c>
      <c r="P8" s="111">
        <v>15.4</v>
      </c>
      <c r="Q8" s="111">
        <v>15.7</v>
      </c>
      <c r="R8" s="111">
        <v>16.7</v>
      </c>
      <c r="S8" s="111">
        <v>17</v>
      </c>
      <c r="T8" s="111">
        <v>18</v>
      </c>
      <c r="U8" s="111">
        <v>19</v>
      </c>
      <c r="V8" s="111">
        <v>20</v>
      </c>
      <c r="W8" s="111">
        <v>19.8</v>
      </c>
      <c r="X8" s="111"/>
    </row>
    <row r="9" spans="1:24">
      <c r="A9" s="111" t="s">
        <v>73</v>
      </c>
      <c r="B9" s="111">
        <v>8.3000000000000007</v>
      </c>
      <c r="C9" s="111">
        <v>8.5</v>
      </c>
      <c r="D9" s="111">
        <v>8.6999999999999993</v>
      </c>
      <c r="E9" s="111">
        <v>8.9</v>
      </c>
      <c r="F9" s="111">
        <v>9.1</v>
      </c>
      <c r="G9" s="111">
        <v>9.1999999999999993</v>
      </c>
      <c r="H9" s="111">
        <v>9.4</v>
      </c>
      <c r="I9" s="111">
        <v>9.4</v>
      </c>
      <c r="J9" s="111">
        <v>10.4</v>
      </c>
      <c r="K9" s="111">
        <v>10.9</v>
      </c>
      <c r="L9" s="111">
        <v>11.4</v>
      </c>
      <c r="M9" s="111">
        <v>11.9</v>
      </c>
      <c r="N9" s="111">
        <v>11.9</v>
      </c>
      <c r="O9" s="111">
        <v>13.4</v>
      </c>
      <c r="P9" s="111">
        <v>13.4</v>
      </c>
      <c r="Q9" s="111">
        <v>13.4</v>
      </c>
      <c r="R9" s="111">
        <v>14.4</v>
      </c>
      <c r="S9" s="111">
        <v>15.4</v>
      </c>
      <c r="T9" s="111">
        <v>15.2</v>
      </c>
      <c r="U9" s="111">
        <v>14.7</v>
      </c>
      <c r="V9" s="111">
        <v>15.7</v>
      </c>
      <c r="W9" s="111">
        <v>15.8</v>
      </c>
      <c r="X9" s="111"/>
    </row>
    <row r="10" spans="1:24">
      <c r="A10" s="111" t="s">
        <v>66</v>
      </c>
      <c r="B10" s="111">
        <v>9.4</v>
      </c>
      <c r="C10" s="111">
        <v>9.3000000000000007</v>
      </c>
      <c r="D10" s="111">
        <v>9.3000000000000007</v>
      </c>
      <c r="E10" s="111">
        <v>9.1999999999999993</v>
      </c>
      <c r="F10" s="111">
        <v>9.1999999999999993</v>
      </c>
      <c r="G10" s="111">
        <v>9.1999999999999993</v>
      </c>
      <c r="H10" s="111">
        <v>9.4</v>
      </c>
      <c r="I10" s="111">
        <v>9.4</v>
      </c>
      <c r="J10" s="111">
        <v>9.9</v>
      </c>
      <c r="K10" s="111">
        <v>9.9</v>
      </c>
      <c r="L10" s="111">
        <v>9.8000000000000007</v>
      </c>
      <c r="M10" s="111">
        <v>9.6999999999999993</v>
      </c>
      <c r="N10" s="111">
        <v>10.7</v>
      </c>
      <c r="O10" s="111">
        <v>11.2</v>
      </c>
      <c r="P10" s="111">
        <v>11.1</v>
      </c>
      <c r="Q10" s="111">
        <v>11</v>
      </c>
      <c r="R10" s="111">
        <v>11.5</v>
      </c>
      <c r="S10" s="111">
        <v>11.5</v>
      </c>
      <c r="T10" s="111">
        <v>11.5</v>
      </c>
      <c r="U10" s="111">
        <v>12</v>
      </c>
      <c r="V10" s="111">
        <v>12.5</v>
      </c>
      <c r="W10" s="111">
        <v>13.5</v>
      </c>
      <c r="X10" s="111"/>
    </row>
    <row r="11" spans="1:24">
      <c r="A11" s="111" t="s">
        <v>72</v>
      </c>
      <c r="B11" s="111">
        <v>8.1</v>
      </c>
      <c r="C11" s="111">
        <v>8.1999999999999993</v>
      </c>
      <c r="D11" s="111">
        <v>8.1999999999999993</v>
      </c>
      <c r="E11" s="111">
        <v>8.1</v>
      </c>
      <c r="F11" s="111">
        <v>8.1</v>
      </c>
      <c r="G11" s="111">
        <v>8.1</v>
      </c>
      <c r="H11" s="111">
        <v>8.1</v>
      </c>
      <c r="I11" s="111">
        <v>8.1</v>
      </c>
      <c r="J11" s="111">
        <v>8.6</v>
      </c>
      <c r="K11" s="111">
        <v>8.6</v>
      </c>
      <c r="L11" s="111">
        <v>8.6</v>
      </c>
      <c r="M11" s="111">
        <v>8.5</v>
      </c>
      <c r="N11" s="111">
        <v>9</v>
      </c>
      <c r="O11" s="111">
        <v>10</v>
      </c>
      <c r="P11" s="111">
        <v>10</v>
      </c>
      <c r="Q11" s="111">
        <v>11</v>
      </c>
      <c r="R11" s="111">
        <v>11.5</v>
      </c>
      <c r="S11" s="111">
        <v>12</v>
      </c>
      <c r="T11" s="111">
        <v>13</v>
      </c>
      <c r="U11" s="111">
        <v>13.5</v>
      </c>
      <c r="V11" s="111">
        <v>14.5</v>
      </c>
      <c r="W11" s="111">
        <v>14.5</v>
      </c>
      <c r="X11" s="111"/>
    </row>
    <row r="12" spans="1:24">
      <c r="A12" s="111" t="s">
        <v>58</v>
      </c>
      <c r="B12" s="111">
        <v>7</v>
      </c>
      <c r="C12" s="111">
        <v>6.9</v>
      </c>
      <c r="D12" s="111">
        <v>6.8</v>
      </c>
      <c r="E12" s="111">
        <v>6.8</v>
      </c>
      <c r="F12" s="111">
        <v>6.8</v>
      </c>
      <c r="G12" s="111">
        <v>6.7</v>
      </c>
      <c r="H12" s="111">
        <v>6.6</v>
      </c>
      <c r="I12" s="111">
        <v>6.5</v>
      </c>
      <c r="J12" s="111">
        <v>6.5</v>
      </c>
      <c r="K12" s="111">
        <v>7</v>
      </c>
      <c r="L12" s="111">
        <v>8</v>
      </c>
      <c r="M12" s="111">
        <v>9</v>
      </c>
      <c r="N12" s="111">
        <v>9</v>
      </c>
      <c r="O12" s="111">
        <v>9.5</v>
      </c>
      <c r="P12" s="111">
        <v>10</v>
      </c>
      <c r="Q12" s="111">
        <v>11</v>
      </c>
      <c r="R12" s="111">
        <v>12.5</v>
      </c>
      <c r="S12" s="111">
        <v>14</v>
      </c>
      <c r="T12" s="111">
        <v>13.9</v>
      </c>
      <c r="U12" s="111">
        <v>14.4</v>
      </c>
      <c r="V12" s="111">
        <v>14.4</v>
      </c>
      <c r="W12" s="111">
        <v>15.4</v>
      </c>
      <c r="X12" s="111"/>
    </row>
    <row r="13" spans="1:24">
      <c r="A13" s="111" t="s">
        <v>68</v>
      </c>
      <c r="B13" s="111">
        <v>7.5</v>
      </c>
      <c r="C13" s="111">
        <v>7.6</v>
      </c>
      <c r="D13" s="111">
        <v>7.5</v>
      </c>
      <c r="E13" s="111">
        <v>7.6</v>
      </c>
      <c r="F13" s="111">
        <v>7.7</v>
      </c>
      <c r="G13" s="111">
        <v>7.7</v>
      </c>
      <c r="H13" s="111">
        <v>7.6</v>
      </c>
      <c r="I13" s="111">
        <v>7.6</v>
      </c>
      <c r="J13" s="111">
        <v>8.1</v>
      </c>
      <c r="K13" s="111">
        <v>8.6</v>
      </c>
      <c r="L13" s="111">
        <v>8.6</v>
      </c>
      <c r="M13" s="111">
        <v>9.1</v>
      </c>
      <c r="N13" s="111">
        <v>9.6</v>
      </c>
      <c r="O13" s="111">
        <v>10.1</v>
      </c>
      <c r="P13" s="111">
        <v>10.6</v>
      </c>
      <c r="Q13" s="111">
        <v>10.6</v>
      </c>
      <c r="R13" s="111">
        <v>10.5</v>
      </c>
      <c r="S13" s="111">
        <v>11</v>
      </c>
      <c r="T13" s="111">
        <v>11.5</v>
      </c>
      <c r="U13" s="111">
        <v>12</v>
      </c>
      <c r="V13" s="111">
        <v>13</v>
      </c>
      <c r="W13" s="111">
        <v>14</v>
      </c>
      <c r="X13" s="111"/>
    </row>
    <row r="14" spans="1:24">
      <c r="A14" s="111" t="s">
        <v>108</v>
      </c>
      <c r="B14" s="111">
        <v>7.8</v>
      </c>
      <c r="C14" s="111">
        <v>7.8</v>
      </c>
      <c r="D14" s="111">
        <v>7.7</v>
      </c>
      <c r="E14" s="111">
        <v>7.7</v>
      </c>
      <c r="F14" s="111">
        <v>7.6</v>
      </c>
      <c r="G14" s="111">
        <v>7.5</v>
      </c>
      <c r="H14" s="111">
        <v>7.5</v>
      </c>
      <c r="I14" s="111">
        <v>7.4</v>
      </c>
      <c r="J14" s="111">
        <v>7.5</v>
      </c>
      <c r="K14" s="111">
        <v>7.9</v>
      </c>
      <c r="L14" s="111">
        <v>7.9</v>
      </c>
      <c r="M14" s="111">
        <v>7.9</v>
      </c>
      <c r="N14" s="111">
        <v>7.9</v>
      </c>
      <c r="O14" s="111">
        <v>8.4</v>
      </c>
      <c r="P14" s="111">
        <v>8.9</v>
      </c>
      <c r="Q14" s="111">
        <v>8.8000000000000007</v>
      </c>
      <c r="R14" s="111">
        <v>8.6999999999999993</v>
      </c>
      <c r="S14" s="111">
        <v>9.1999999999999993</v>
      </c>
      <c r="T14" s="111">
        <v>9.6999999999999993</v>
      </c>
      <c r="U14" s="111">
        <v>9.6999999999999993</v>
      </c>
      <c r="V14" s="111">
        <v>9.6</v>
      </c>
      <c r="W14" s="111">
        <v>9.6</v>
      </c>
      <c r="X14" s="111"/>
    </row>
    <row r="15" spans="1:24">
      <c r="A15" s="111" t="s">
        <v>64</v>
      </c>
      <c r="B15" s="111">
        <v>5.5</v>
      </c>
      <c r="C15" s="111">
        <v>5.5</v>
      </c>
      <c r="D15" s="111">
        <v>5.4</v>
      </c>
      <c r="E15" s="111">
        <v>5.3</v>
      </c>
      <c r="F15" s="111">
        <v>5.2</v>
      </c>
      <c r="G15" s="111">
        <v>5.0999999999999996</v>
      </c>
      <c r="H15" s="111">
        <v>5</v>
      </c>
      <c r="I15" s="111">
        <v>4.9000000000000004</v>
      </c>
      <c r="J15" s="111">
        <v>5.9</v>
      </c>
      <c r="K15" s="111">
        <v>6.4</v>
      </c>
      <c r="L15" s="111">
        <v>6.9</v>
      </c>
      <c r="M15" s="111">
        <v>7.4</v>
      </c>
      <c r="N15" s="111">
        <v>7.9</v>
      </c>
      <c r="O15" s="111">
        <v>8.4</v>
      </c>
      <c r="P15" s="111">
        <v>8.9</v>
      </c>
      <c r="Q15" s="111">
        <v>9.4</v>
      </c>
      <c r="R15" s="111">
        <v>9.3000000000000007</v>
      </c>
      <c r="S15" s="111">
        <v>10.3</v>
      </c>
      <c r="T15" s="111">
        <v>10.8</v>
      </c>
      <c r="U15" s="111">
        <v>11.3</v>
      </c>
      <c r="V15" s="111">
        <v>11.3</v>
      </c>
      <c r="W15" s="111">
        <v>11.3</v>
      </c>
      <c r="X15" s="111"/>
    </row>
    <row r="16" spans="1:24">
      <c r="A16" s="111" t="s">
        <v>105</v>
      </c>
      <c r="B16" s="111">
        <v>6.7</v>
      </c>
      <c r="C16" s="111">
        <v>6.7</v>
      </c>
      <c r="D16" s="111">
        <v>6.7</v>
      </c>
      <c r="E16" s="111">
        <v>6.6</v>
      </c>
      <c r="F16" s="111">
        <v>6.6</v>
      </c>
      <c r="G16" s="111">
        <v>6.5</v>
      </c>
      <c r="H16" s="111">
        <v>6.4</v>
      </c>
      <c r="I16" s="111">
        <v>6.4</v>
      </c>
      <c r="J16" s="111">
        <v>6.4</v>
      </c>
      <c r="K16" s="111">
        <v>6.9</v>
      </c>
      <c r="L16" s="111">
        <v>6.8</v>
      </c>
      <c r="M16" s="111">
        <v>6.8</v>
      </c>
      <c r="N16" s="111">
        <v>7.3</v>
      </c>
      <c r="O16" s="111">
        <v>7.8</v>
      </c>
      <c r="P16" s="111">
        <v>7.5</v>
      </c>
      <c r="Q16" s="111">
        <v>8.3000000000000007</v>
      </c>
      <c r="R16" s="111">
        <v>8.3000000000000007</v>
      </c>
      <c r="S16" s="111">
        <v>9.3000000000000007</v>
      </c>
      <c r="T16" s="111">
        <v>9.8000000000000007</v>
      </c>
      <c r="U16" s="111">
        <v>9.6999999999999993</v>
      </c>
      <c r="V16" s="111">
        <v>9.6</v>
      </c>
      <c r="W16" s="111">
        <v>9.6</v>
      </c>
      <c r="X16" s="111"/>
    </row>
    <row r="17" spans="1:24">
      <c r="A17" s="111" t="s">
        <v>106</v>
      </c>
      <c r="B17" s="111">
        <v>4.9000000000000004</v>
      </c>
      <c r="C17" s="111">
        <v>4.9000000000000004</v>
      </c>
      <c r="D17" s="111">
        <v>4.9000000000000004</v>
      </c>
      <c r="E17" s="111">
        <v>4.9000000000000004</v>
      </c>
      <c r="F17" s="111">
        <v>4.8</v>
      </c>
      <c r="G17" s="111">
        <v>4.7</v>
      </c>
      <c r="H17" s="111">
        <v>4.7</v>
      </c>
      <c r="I17" s="111">
        <v>4.7</v>
      </c>
      <c r="J17" s="111">
        <v>4.7</v>
      </c>
      <c r="K17" s="111">
        <v>4.7</v>
      </c>
      <c r="L17" s="111">
        <v>5.2</v>
      </c>
      <c r="M17" s="111">
        <v>5.2</v>
      </c>
      <c r="N17" s="111">
        <v>5.7</v>
      </c>
      <c r="O17" s="111">
        <v>5.7</v>
      </c>
      <c r="P17" s="111">
        <v>5.7</v>
      </c>
      <c r="Q17" s="111">
        <v>6.2</v>
      </c>
      <c r="R17" s="111">
        <v>6.7</v>
      </c>
      <c r="S17" s="111">
        <v>7.2</v>
      </c>
      <c r="T17" s="111">
        <v>7.2</v>
      </c>
      <c r="U17" s="111">
        <v>7.2</v>
      </c>
      <c r="V17" s="111">
        <v>7.2</v>
      </c>
      <c r="W17" s="111">
        <v>7.7</v>
      </c>
      <c r="X17" s="111"/>
    </row>
    <row r="18" spans="1:24">
      <c r="A18" s="111" t="s">
        <v>65</v>
      </c>
      <c r="B18" s="111">
        <v>4.8</v>
      </c>
      <c r="C18" s="111">
        <v>4.8</v>
      </c>
      <c r="D18" s="111">
        <v>4.8</v>
      </c>
      <c r="E18" s="111">
        <v>4.8</v>
      </c>
      <c r="F18" s="111">
        <v>4.7</v>
      </c>
      <c r="G18" s="111">
        <v>4.7</v>
      </c>
      <c r="H18" s="111">
        <v>4.5999999999999996</v>
      </c>
      <c r="I18" s="111">
        <v>4.5999999999999996</v>
      </c>
      <c r="J18" s="111">
        <v>5.0999999999999996</v>
      </c>
      <c r="K18" s="111">
        <v>5.0999999999999996</v>
      </c>
      <c r="L18" s="111">
        <v>5.0999999999999996</v>
      </c>
      <c r="M18" s="111">
        <v>5.0999999999999996</v>
      </c>
      <c r="N18" s="111">
        <v>5.0999999999999996</v>
      </c>
      <c r="O18" s="111">
        <v>5.6</v>
      </c>
      <c r="P18" s="111">
        <v>5.5</v>
      </c>
      <c r="Q18" s="111">
        <v>5.4</v>
      </c>
      <c r="R18" s="111">
        <v>5.4</v>
      </c>
      <c r="S18" s="111">
        <v>5.9</v>
      </c>
      <c r="T18" s="111">
        <v>6.9</v>
      </c>
      <c r="U18" s="111">
        <v>7.9</v>
      </c>
      <c r="V18" s="111">
        <v>8.9</v>
      </c>
      <c r="W18" s="111">
        <v>9.4</v>
      </c>
      <c r="X18" s="111"/>
    </row>
    <row r="19" spans="1:24">
      <c r="A19" s="111" t="s">
        <v>71</v>
      </c>
      <c r="B19" s="111"/>
      <c r="C19" s="111"/>
      <c r="D19" s="111"/>
      <c r="E19" s="111"/>
      <c r="F19" s="111"/>
      <c r="G19" s="111"/>
      <c r="H19" s="111"/>
      <c r="I19" s="111"/>
      <c r="J19" s="111"/>
      <c r="K19" s="111"/>
      <c r="L19" s="111"/>
      <c r="M19" s="111"/>
      <c r="N19" s="111">
        <v>4.5</v>
      </c>
      <c r="O19" s="111">
        <v>5</v>
      </c>
      <c r="P19" s="111">
        <v>5</v>
      </c>
      <c r="Q19" s="111">
        <v>5.5</v>
      </c>
      <c r="R19" s="111">
        <v>6</v>
      </c>
      <c r="S19" s="111"/>
      <c r="T19" s="111"/>
      <c r="U19" s="111"/>
      <c r="V19" s="111"/>
      <c r="W19" s="111"/>
      <c r="X19" s="111"/>
    </row>
    <row r="20" spans="1:24">
      <c r="A20" s="111" t="s">
        <v>107</v>
      </c>
      <c r="B20" s="111"/>
      <c r="C20" s="111"/>
      <c r="D20" s="111"/>
      <c r="E20" s="111"/>
      <c r="F20" s="111"/>
      <c r="G20" s="111"/>
      <c r="H20" s="111"/>
      <c r="I20" s="111"/>
      <c r="J20" s="111"/>
      <c r="K20" s="111"/>
      <c r="L20" s="111">
        <v>4.5</v>
      </c>
      <c r="M20" s="111">
        <v>4.5</v>
      </c>
      <c r="N20" s="111"/>
      <c r="O20" s="111"/>
      <c r="P20" s="111"/>
      <c r="Q20" s="111"/>
      <c r="R20" s="111"/>
      <c r="S20" s="111">
        <v>4.5</v>
      </c>
      <c r="T20" s="111">
        <v>4.5</v>
      </c>
      <c r="U20" s="111">
        <v>5</v>
      </c>
      <c r="V20" s="111">
        <v>5.5</v>
      </c>
      <c r="W20" s="111">
        <v>5.5</v>
      </c>
      <c r="X20" s="111"/>
    </row>
    <row r="21" spans="1:24">
      <c r="A21" s="111" t="s">
        <v>114</v>
      </c>
      <c r="B21" s="111">
        <v>5</v>
      </c>
      <c r="C21" s="111">
        <v>5</v>
      </c>
      <c r="D21" s="111">
        <v>5</v>
      </c>
      <c r="E21" s="111">
        <v>4.9000000000000004</v>
      </c>
      <c r="F21" s="111">
        <v>4.8</v>
      </c>
      <c r="G21" s="111">
        <v>4.7</v>
      </c>
      <c r="H21" s="111">
        <v>4.5999999999999996</v>
      </c>
      <c r="I21" s="111">
        <v>4.5</v>
      </c>
      <c r="J21" s="111">
        <v>4.5</v>
      </c>
      <c r="K21" s="111">
        <v>4.5</v>
      </c>
      <c r="L21" s="111"/>
      <c r="M21" s="111"/>
      <c r="N21" s="111"/>
      <c r="O21" s="111"/>
      <c r="P21" s="111"/>
      <c r="Q21" s="111"/>
      <c r="R21" s="111"/>
      <c r="S21" s="111"/>
      <c r="T21" s="111"/>
      <c r="U21" s="111"/>
      <c r="V21" s="111"/>
      <c r="W21" s="111"/>
      <c r="X21" s="111"/>
    </row>
    <row r="22" spans="1:24">
      <c r="A22" s="111" t="s">
        <v>67</v>
      </c>
      <c r="B22" s="111">
        <v>4.3</v>
      </c>
      <c r="C22" s="111">
        <v>4.2</v>
      </c>
      <c r="D22" s="111">
        <v>4.0999999999999996</v>
      </c>
      <c r="E22" s="111">
        <v>4.0999999999999996</v>
      </c>
      <c r="F22" s="111">
        <v>4</v>
      </c>
      <c r="G22" s="111">
        <v>3.9</v>
      </c>
      <c r="H22" s="111">
        <v>3.9</v>
      </c>
      <c r="I22" s="111">
        <v>3.8</v>
      </c>
      <c r="J22" s="111">
        <v>3.8</v>
      </c>
      <c r="K22" s="111">
        <v>3.8</v>
      </c>
      <c r="L22" s="111">
        <v>3.8</v>
      </c>
      <c r="M22" s="111">
        <v>3.8</v>
      </c>
      <c r="N22" s="111">
        <v>4.3</v>
      </c>
      <c r="O22" s="111">
        <v>4.8</v>
      </c>
      <c r="P22" s="111">
        <v>4.8</v>
      </c>
      <c r="Q22" s="111">
        <v>4.8</v>
      </c>
      <c r="R22" s="111">
        <v>5.3</v>
      </c>
      <c r="S22" s="111">
        <v>5.2</v>
      </c>
      <c r="T22" s="111">
        <v>5.7</v>
      </c>
      <c r="U22" s="111">
        <v>6.2</v>
      </c>
      <c r="V22" s="111">
        <v>6.2</v>
      </c>
      <c r="W22" s="111">
        <v>6.2</v>
      </c>
      <c r="X22" s="111"/>
    </row>
    <row r="23" spans="1:24">
      <c r="A23" s="111" t="s">
        <v>109</v>
      </c>
      <c r="B23" s="111">
        <v>4</v>
      </c>
      <c r="C23" s="111">
        <v>4</v>
      </c>
      <c r="D23" s="111">
        <v>3.9</v>
      </c>
      <c r="E23" s="111">
        <v>3.8</v>
      </c>
      <c r="F23" s="111">
        <v>3.7</v>
      </c>
      <c r="G23" s="111">
        <v>3.6</v>
      </c>
      <c r="H23" s="111">
        <v>3.5</v>
      </c>
      <c r="I23" s="111">
        <v>3.5</v>
      </c>
      <c r="J23" s="111">
        <v>3.5</v>
      </c>
      <c r="K23" s="111">
        <v>4</v>
      </c>
      <c r="L23" s="111">
        <v>4.5</v>
      </c>
      <c r="M23" s="111">
        <v>4.5</v>
      </c>
      <c r="N23" s="111">
        <v>4.5</v>
      </c>
      <c r="O23" s="111">
        <v>4.5</v>
      </c>
      <c r="P23" s="111">
        <v>4.5</v>
      </c>
      <c r="Q23" s="111">
        <v>5</v>
      </c>
      <c r="R23" s="111">
        <v>4.9000000000000004</v>
      </c>
      <c r="S23" s="111">
        <v>4.8</v>
      </c>
      <c r="T23" s="111">
        <v>5.3</v>
      </c>
      <c r="U23" s="111">
        <v>5.3</v>
      </c>
      <c r="V23" s="111">
        <v>5.8</v>
      </c>
      <c r="W23" s="111">
        <v>5.8</v>
      </c>
      <c r="X23" s="111"/>
    </row>
    <row r="24" spans="1:24">
      <c r="A24" s="112"/>
      <c r="B24" s="111"/>
      <c r="C24" s="111"/>
      <c r="D24" s="111"/>
      <c r="E24" s="111"/>
      <c r="F24" s="111"/>
      <c r="G24" s="111"/>
      <c r="H24" s="111"/>
      <c r="I24" s="111"/>
      <c r="J24" s="111"/>
      <c r="K24" s="111"/>
      <c r="L24" s="111"/>
      <c r="M24" s="111"/>
      <c r="N24" s="111"/>
      <c r="O24" s="111"/>
      <c r="P24" s="111"/>
      <c r="Q24" s="111"/>
      <c r="R24" s="111"/>
      <c r="S24" s="111"/>
      <c r="T24" s="111"/>
      <c r="U24" s="111"/>
      <c r="V24" s="111"/>
      <c r="W24" s="111"/>
      <c r="X24" s="11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5"/>
  </sheetPr>
  <dimension ref="A1:X12"/>
  <sheetViews>
    <sheetView workbookViewId="0">
      <selection activeCell="A2" sqref="A2"/>
    </sheetView>
  </sheetViews>
  <sheetFormatPr baseColWidth="10" defaultRowHeight="16"/>
  <sheetData>
    <row r="1" spans="1:24">
      <c r="B1">
        <v>1</v>
      </c>
      <c r="C1">
        <v>2</v>
      </c>
      <c r="D1">
        <v>3</v>
      </c>
      <c r="E1">
        <v>4</v>
      </c>
      <c r="F1">
        <v>5</v>
      </c>
      <c r="G1">
        <v>7</v>
      </c>
      <c r="H1">
        <v>8</v>
      </c>
      <c r="I1">
        <v>9</v>
      </c>
      <c r="J1">
        <v>10</v>
      </c>
      <c r="K1">
        <v>11</v>
      </c>
      <c r="L1">
        <v>12</v>
      </c>
      <c r="M1">
        <v>13</v>
      </c>
      <c r="N1">
        <v>14</v>
      </c>
      <c r="O1">
        <v>15</v>
      </c>
      <c r="P1">
        <v>16</v>
      </c>
      <c r="Q1">
        <v>17</v>
      </c>
      <c r="R1">
        <v>18</v>
      </c>
      <c r="S1">
        <v>19</v>
      </c>
      <c r="T1">
        <v>20</v>
      </c>
      <c r="U1">
        <v>21</v>
      </c>
      <c r="V1">
        <v>22</v>
      </c>
      <c r="W1">
        <v>23</v>
      </c>
    </row>
    <row r="2" spans="1:24">
      <c r="A2" s="111" t="s">
        <v>80</v>
      </c>
      <c r="B2" s="111">
        <v>27.2</v>
      </c>
      <c r="C2" s="111">
        <v>27.3</v>
      </c>
      <c r="D2" s="111">
        <v>27.4</v>
      </c>
      <c r="E2" s="111">
        <v>27.5</v>
      </c>
      <c r="F2" s="111">
        <v>27.6</v>
      </c>
      <c r="G2" s="111">
        <v>27.7</v>
      </c>
      <c r="H2" s="111">
        <v>27.8</v>
      </c>
      <c r="I2" s="111">
        <v>27.9</v>
      </c>
      <c r="J2" s="111">
        <v>28.1</v>
      </c>
      <c r="K2" s="111">
        <v>28.2</v>
      </c>
      <c r="L2" s="111">
        <v>28.4</v>
      </c>
      <c r="M2" s="111">
        <v>28.6</v>
      </c>
      <c r="N2" s="111">
        <v>28.7</v>
      </c>
      <c r="O2" s="111">
        <v>28.8</v>
      </c>
      <c r="P2" s="111">
        <v>29</v>
      </c>
      <c r="Q2" s="111">
        <v>29.1</v>
      </c>
      <c r="R2" s="111">
        <v>29.2</v>
      </c>
      <c r="S2" s="111">
        <v>29.3</v>
      </c>
      <c r="T2" s="111">
        <v>29.4</v>
      </c>
      <c r="U2" s="111">
        <v>29.4</v>
      </c>
      <c r="V2" s="111">
        <v>29.6</v>
      </c>
      <c r="W2" s="111">
        <v>29.7</v>
      </c>
      <c r="X2" s="111"/>
    </row>
    <row r="3" spans="1:24">
      <c r="A3" s="111" t="s">
        <v>81</v>
      </c>
      <c r="B3" s="111">
        <v>25.1</v>
      </c>
      <c r="C3" s="111">
        <v>25.1</v>
      </c>
      <c r="D3" s="111">
        <v>25.1</v>
      </c>
      <c r="E3" s="111">
        <v>25.1</v>
      </c>
      <c r="F3" s="111">
        <v>25.1</v>
      </c>
      <c r="G3" s="111">
        <v>25.1</v>
      </c>
      <c r="H3" s="111">
        <v>25.2</v>
      </c>
      <c r="I3" s="111">
        <v>25.2</v>
      </c>
      <c r="J3" s="111">
        <v>25.2</v>
      </c>
      <c r="K3" s="111">
        <v>25.2</v>
      </c>
      <c r="L3" s="111">
        <v>25.3</v>
      </c>
      <c r="M3" s="111">
        <v>25.4</v>
      </c>
      <c r="N3" s="111">
        <v>25.5</v>
      </c>
      <c r="O3" s="111">
        <v>25.5</v>
      </c>
      <c r="P3" s="111">
        <v>25.6</v>
      </c>
      <c r="Q3" s="111">
        <v>25.7</v>
      </c>
      <c r="R3" s="111">
        <v>25.8</v>
      </c>
      <c r="S3" s="111">
        <v>25.9</v>
      </c>
      <c r="T3" s="111">
        <v>25.9</v>
      </c>
      <c r="U3" s="111">
        <v>26</v>
      </c>
      <c r="V3" s="111">
        <v>26</v>
      </c>
      <c r="W3" s="111">
        <v>26</v>
      </c>
      <c r="X3" s="111"/>
    </row>
    <row r="4" spans="1:24">
      <c r="A4" s="111" t="s">
        <v>82</v>
      </c>
      <c r="B4" s="111">
        <v>22.1</v>
      </c>
      <c r="C4" s="111">
        <v>22.1</v>
      </c>
      <c r="D4" s="111">
        <v>22.2</v>
      </c>
      <c r="E4" s="111">
        <v>22.1</v>
      </c>
      <c r="F4" s="111">
        <v>22.2</v>
      </c>
      <c r="G4" s="111">
        <v>22.2</v>
      </c>
      <c r="H4" s="111">
        <v>22.2</v>
      </c>
      <c r="I4" s="111">
        <v>22.2</v>
      </c>
      <c r="J4" s="111">
        <v>22.5</v>
      </c>
      <c r="K4" s="111">
        <v>22.8</v>
      </c>
      <c r="L4" s="111">
        <v>22.9</v>
      </c>
      <c r="M4" s="111">
        <v>23</v>
      </c>
      <c r="N4" s="111">
        <v>23.1</v>
      </c>
      <c r="O4" s="111">
        <v>23.2</v>
      </c>
      <c r="P4" s="111">
        <v>23.5</v>
      </c>
      <c r="Q4" s="111">
        <v>23.8</v>
      </c>
      <c r="R4" s="111">
        <v>24.1</v>
      </c>
      <c r="S4" s="111">
        <v>24.2</v>
      </c>
      <c r="T4" s="111">
        <v>24.3</v>
      </c>
      <c r="U4" s="111">
        <v>24.6</v>
      </c>
      <c r="V4" s="111">
        <v>24.7</v>
      </c>
      <c r="W4" s="111">
        <v>25</v>
      </c>
      <c r="X4" s="111"/>
    </row>
    <row r="5" spans="1:24">
      <c r="A5" s="111" t="s">
        <v>79</v>
      </c>
      <c r="B5" s="111">
        <v>9.1</v>
      </c>
      <c r="C5" s="111">
        <v>9</v>
      </c>
      <c r="D5" s="111">
        <v>9</v>
      </c>
      <c r="E5" s="111">
        <v>9</v>
      </c>
      <c r="F5" s="111">
        <v>9</v>
      </c>
      <c r="G5" s="111">
        <v>8.9</v>
      </c>
      <c r="H5" s="111">
        <v>8.9</v>
      </c>
      <c r="I5" s="111">
        <v>8.8000000000000007</v>
      </c>
      <c r="J5" s="111">
        <v>9.3000000000000007</v>
      </c>
      <c r="K5" s="111">
        <v>9.8000000000000007</v>
      </c>
      <c r="L5" s="111">
        <v>10.8</v>
      </c>
      <c r="M5" s="111">
        <v>11.8</v>
      </c>
      <c r="N5" s="111">
        <v>11.8</v>
      </c>
      <c r="O5" s="111">
        <v>12.3</v>
      </c>
      <c r="P5" s="111">
        <v>13.3</v>
      </c>
      <c r="Q5" s="111">
        <v>14.3</v>
      </c>
      <c r="R5" s="111">
        <v>15.3</v>
      </c>
      <c r="S5" s="111">
        <v>16.3</v>
      </c>
      <c r="T5" s="111">
        <v>16.399999999999999</v>
      </c>
      <c r="U5" s="111">
        <v>16.7</v>
      </c>
      <c r="V5" s="111">
        <v>17</v>
      </c>
      <c r="W5" s="111">
        <v>17.100000000000001</v>
      </c>
      <c r="X5" s="111"/>
    </row>
    <row r="6" spans="1:24">
      <c r="A6" s="111" t="s">
        <v>88</v>
      </c>
      <c r="B6" s="111">
        <v>10.1</v>
      </c>
      <c r="C6" s="111">
        <v>10</v>
      </c>
      <c r="D6" s="111">
        <v>10</v>
      </c>
      <c r="E6" s="111">
        <v>9.9</v>
      </c>
      <c r="F6" s="111">
        <v>9.9</v>
      </c>
      <c r="G6" s="111">
        <v>9.9</v>
      </c>
      <c r="H6" s="111">
        <v>10</v>
      </c>
      <c r="I6" s="111">
        <v>10</v>
      </c>
      <c r="J6" s="111">
        <v>10.5</v>
      </c>
      <c r="K6" s="111">
        <v>10.5</v>
      </c>
      <c r="L6" s="111">
        <v>10.4</v>
      </c>
      <c r="M6" s="111">
        <v>10.3</v>
      </c>
      <c r="N6" s="111">
        <v>10.8</v>
      </c>
      <c r="O6" s="111">
        <v>11.3</v>
      </c>
      <c r="P6" s="111">
        <v>11.2</v>
      </c>
      <c r="Q6" s="111">
        <v>11.2</v>
      </c>
      <c r="R6" s="111">
        <v>11.7</v>
      </c>
      <c r="S6" s="111">
        <v>12.2</v>
      </c>
      <c r="T6" s="111">
        <v>12.7</v>
      </c>
      <c r="U6" s="111">
        <v>13.2</v>
      </c>
      <c r="V6" s="111">
        <v>13.7</v>
      </c>
      <c r="W6" s="111">
        <v>14.2</v>
      </c>
      <c r="X6" s="111"/>
    </row>
    <row r="7" spans="1:24">
      <c r="A7" s="111" t="s">
        <v>86</v>
      </c>
      <c r="B7" s="111">
        <v>6.7</v>
      </c>
      <c r="C7" s="111">
        <v>6.8</v>
      </c>
      <c r="D7" s="111">
        <v>6.8</v>
      </c>
      <c r="E7" s="111">
        <v>6.9</v>
      </c>
      <c r="F7" s="111">
        <v>7</v>
      </c>
      <c r="G7" s="111">
        <v>7</v>
      </c>
      <c r="H7" s="111">
        <v>7</v>
      </c>
      <c r="I7" s="111">
        <v>7</v>
      </c>
      <c r="J7" s="111">
        <v>8</v>
      </c>
      <c r="K7" s="111">
        <v>8.5</v>
      </c>
      <c r="L7" s="111">
        <v>9</v>
      </c>
      <c r="M7" s="111">
        <v>9.5</v>
      </c>
      <c r="N7" s="111">
        <v>10</v>
      </c>
      <c r="O7" s="111">
        <v>11</v>
      </c>
      <c r="P7" s="111">
        <v>11.5</v>
      </c>
      <c r="Q7" s="111">
        <v>11.5</v>
      </c>
      <c r="R7" s="111">
        <v>11.5</v>
      </c>
      <c r="S7" s="111">
        <v>12</v>
      </c>
      <c r="T7" s="111">
        <v>12</v>
      </c>
      <c r="U7" s="111">
        <v>11.9</v>
      </c>
      <c r="V7" s="111">
        <v>12.9</v>
      </c>
      <c r="W7" s="111">
        <v>13.4</v>
      </c>
      <c r="X7" s="111"/>
    </row>
    <row r="8" spans="1:24">
      <c r="A8" s="111" t="s">
        <v>115</v>
      </c>
      <c r="B8" s="111">
        <v>6.4</v>
      </c>
      <c r="C8" s="111">
        <v>6.3</v>
      </c>
      <c r="D8" s="111">
        <v>6.3</v>
      </c>
      <c r="E8" s="111">
        <v>6.2</v>
      </c>
      <c r="F8" s="111">
        <v>6.1</v>
      </c>
      <c r="G8" s="111">
        <v>6.1</v>
      </c>
      <c r="H8" s="111">
        <v>6</v>
      </c>
      <c r="I8" s="111">
        <v>6</v>
      </c>
      <c r="J8" s="111">
        <v>6</v>
      </c>
      <c r="K8" s="111">
        <v>6</v>
      </c>
      <c r="L8" s="111">
        <v>6</v>
      </c>
      <c r="M8" s="111">
        <v>6</v>
      </c>
      <c r="N8" s="111">
        <v>6</v>
      </c>
      <c r="O8" s="111">
        <v>6.5</v>
      </c>
      <c r="P8" s="111">
        <v>6.4</v>
      </c>
      <c r="Q8" s="111">
        <v>6.3</v>
      </c>
      <c r="R8" s="111">
        <v>6.8</v>
      </c>
      <c r="S8" s="111">
        <v>6.7</v>
      </c>
      <c r="T8" s="111">
        <v>7.2</v>
      </c>
      <c r="U8" s="111">
        <v>7.7</v>
      </c>
      <c r="V8" s="111">
        <v>8.1999999999999993</v>
      </c>
      <c r="W8" s="111">
        <v>8.6999999999999993</v>
      </c>
      <c r="X8" s="111"/>
    </row>
    <row r="9" spans="1:24">
      <c r="A9" s="111" t="s">
        <v>116</v>
      </c>
      <c r="B9" s="111">
        <v>6.2</v>
      </c>
      <c r="C9" s="111">
        <v>6.2</v>
      </c>
      <c r="D9" s="111">
        <v>6.1</v>
      </c>
      <c r="E9" s="111">
        <v>6.1</v>
      </c>
      <c r="F9" s="111">
        <v>6</v>
      </c>
      <c r="G9" s="111">
        <v>5.9</v>
      </c>
      <c r="H9" s="111">
        <v>5.9</v>
      </c>
      <c r="I9" s="111">
        <v>5.9</v>
      </c>
      <c r="J9" s="111">
        <v>5.9</v>
      </c>
      <c r="K9" s="111">
        <v>5.9</v>
      </c>
      <c r="L9" s="111">
        <v>5.9</v>
      </c>
      <c r="M9" s="111">
        <v>5.9</v>
      </c>
      <c r="N9" s="111">
        <v>6.4</v>
      </c>
      <c r="O9" s="111">
        <v>6.4</v>
      </c>
      <c r="P9" s="111">
        <v>6.4</v>
      </c>
      <c r="Q9" s="111">
        <v>6.3</v>
      </c>
      <c r="R9" s="111">
        <v>6.2</v>
      </c>
      <c r="S9" s="111">
        <v>6.7</v>
      </c>
      <c r="T9" s="111">
        <v>6.7</v>
      </c>
      <c r="U9" s="111">
        <v>6.7</v>
      </c>
      <c r="V9" s="111">
        <v>6.6</v>
      </c>
      <c r="W9" s="111">
        <v>6.6</v>
      </c>
      <c r="X9" s="111"/>
    </row>
    <row r="10" spans="1:24">
      <c r="A10" s="111" t="s">
        <v>83</v>
      </c>
      <c r="B10" s="111">
        <v>5.0999999999999996</v>
      </c>
      <c r="C10" s="111">
        <v>5.0999999999999996</v>
      </c>
      <c r="D10" s="111">
        <v>5</v>
      </c>
      <c r="E10" s="111">
        <v>4.9000000000000004</v>
      </c>
      <c r="F10" s="111">
        <v>4.8</v>
      </c>
      <c r="G10" s="111">
        <v>4.7</v>
      </c>
      <c r="H10" s="111">
        <v>4.5999999999999996</v>
      </c>
      <c r="I10" s="111">
        <v>4.5</v>
      </c>
      <c r="J10" s="111">
        <v>4.5</v>
      </c>
      <c r="K10" s="111">
        <v>5</v>
      </c>
      <c r="L10" s="111">
        <v>5.5</v>
      </c>
      <c r="M10" s="111">
        <v>5.5</v>
      </c>
      <c r="N10" s="111">
        <v>6</v>
      </c>
      <c r="O10" s="111">
        <v>6</v>
      </c>
      <c r="P10" s="111">
        <v>6.5</v>
      </c>
      <c r="Q10" s="111">
        <v>7</v>
      </c>
      <c r="R10" s="111">
        <v>6.9</v>
      </c>
      <c r="S10" s="111">
        <v>6.8</v>
      </c>
      <c r="T10" s="111">
        <v>7.3</v>
      </c>
      <c r="U10" s="111">
        <v>7.8</v>
      </c>
      <c r="V10" s="111">
        <v>7.8</v>
      </c>
      <c r="W10" s="111">
        <v>7.8</v>
      </c>
      <c r="X10" s="111"/>
    </row>
    <row r="11" spans="1:24">
      <c r="A11" s="111" t="s">
        <v>84</v>
      </c>
      <c r="B11" s="111">
        <v>5.3</v>
      </c>
      <c r="C11" s="111">
        <v>5.3</v>
      </c>
      <c r="D11" s="111">
        <v>5.2</v>
      </c>
      <c r="E11" s="111">
        <v>5.2</v>
      </c>
      <c r="F11" s="111">
        <v>5.2</v>
      </c>
      <c r="G11" s="111">
        <v>5.0999999999999996</v>
      </c>
      <c r="H11" s="111">
        <v>5</v>
      </c>
      <c r="I11" s="111">
        <v>5</v>
      </c>
      <c r="J11" s="111">
        <v>5</v>
      </c>
      <c r="K11" s="111">
        <v>5</v>
      </c>
      <c r="L11" s="111">
        <v>4.9000000000000004</v>
      </c>
      <c r="M11" s="111">
        <v>4.9000000000000004</v>
      </c>
      <c r="N11" s="111">
        <v>5.4</v>
      </c>
      <c r="O11" s="111">
        <v>5.9</v>
      </c>
      <c r="P11" s="111">
        <v>5.9</v>
      </c>
      <c r="Q11" s="111">
        <v>6.4</v>
      </c>
      <c r="R11" s="111">
        <v>6.9</v>
      </c>
      <c r="S11" s="111">
        <v>6.9</v>
      </c>
      <c r="T11" s="111">
        <v>7.4</v>
      </c>
      <c r="U11" s="111">
        <v>7.3</v>
      </c>
      <c r="V11" s="111">
        <v>7.2</v>
      </c>
      <c r="W11" s="111">
        <v>7.2</v>
      </c>
      <c r="X11" s="111"/>
    </row>
    <row r="12" spans="1:24">
      <c r="A12" s="112"/>
      <c r="B12" s="111"/>
      <c r="C12" s="111"/>
      <c r="D12" s="111"/>
      <c r="E12" s="111"/>
      <c r="F12" s="111"/>
      <c r="G12" s="111"/>
      <c r="H12" s="111"/>
      <c r="I12" s="111"/>
      <c r="J12" s="111"/>
      <c r="K12" s="111"/>
      <c r="L12" s="111"/>
      <c r="M12" s="111"/>
      <c r="N12" s="111"/>
      <c r="O12" s="111"/>
      <c r="P12" s="111"/>
      <c r="Q12" s="111"/>
      <c r="R12" s="111"/>
      <c r="S12" s="111"/>
      <c r="T12" s="111"/>
      <c r="U12" s="111"/>
      <c r="V12" s="111"/>
      <c r="W12" s="111"/>
      <c r="X12" s="11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5"/>
  </sheetPr>
  <dimension ref="A1:X24"/>
  <sheetViews>
    <sheetView workbookViewId="0">
      <selection activeCell="A23" sqref="A23"/>
    </sheetView>
  </sheetViews>
  <sheetFormatPr baseColWidth="10" defaultRowHeight="16"/>
  <sheetData>
    <row r="1" spans="1:24">
      <c r="B1">
        <v>1</v>
      </c>
      <c r="C1">
        <v>2</v>
      </c>
      <c r="D1">
        <v>3</v>
      </c>
      <c r="E1">
        <v>4</v>
      </c>
      <c r="F1">
        <v>5</v>
      </c>
      <c r="G1">
        <v>7</v>
      </c>
      <c r="H1">
        <v>8</v>
      </c>
      <c r="I1">
        <v>9</v>
      </c>
      <c r="J1">
        <v>10</v>
      </c>
      <c r="K1">
        <v>11</v>
      </c>
      <c r="L1">
        <v>12</v>
      </c>
      <c r="M1">
        <v>13</v>
      </c>
      <c r="N1">
        <v>14</v>
      </c>
      <c r="O1">
        <v>15</v>
      </c>
      <c r="P1">
        <v>16</v>
      </c>
      <c r="Q1">
        <v>17</v>
      </c>
      <c r="R1">
        <v>18</v>
      </c>
      <c r="S1">
        <v>19</v>
      </c>
      <c r="T1">
        <v>20</v>
      </c>
      <c r="U1">
        <v>21</v>
      </c>
      <c r="V1">
        <v>22</v>
      </c>
      <c r="W1">
        <v>23</v>
      </c>
    </row>
    <row r="2" spans="1:24">
      <c r="A2" s="111" t="s">
        <v>56</v>
      </c>
      <c r="B2" s="111">
        <v>35</v>
      </c>
      <c r="C2" s="111">
        <v>61</v>
      </c>
      <c r="D2" s="111">
        <v>36</v>
      </c>
      <c r="E2" s="111">
        <v>37</v>
      </c>
      <c r="F2" s="111">
        <v>64</v>
      </c>
      <c r="G2" s="111">
        <v>35</v>
      </c>
      <c r="H2" s="111">
        <v>46</v>
      </c>
      <c r="I2" s="111">
        <v>35</v>
      </c>
      <c r="J2" s="111">
        <v>56</v>
      </c>
      <c r="K2" s="111">
        <v>46</v>
      </c>
      <c r="L2" s="111">
        <v>46</v>
      </c>
      <c r="M2" s="111">
        <v>68</v>
      </c>
      <c r="N2" s="111">
        <v>46</v>
      </c>
      <c r="O2" s="111">
        <v>38</v>
      </c>
      <c r="P2" s="111">
        <v>25</v>
      </c>
      <c r="Q2" s="111">
        <v>47</v>
      </c>
      <c r="R2" s="111">
        <v>62</v>
      </c>
      <c r="S2" s="111">
        <v>53</v>
      </c>
      <c r="T2" s="111">
        <v>42</v>
      </c>
      <c r="U2" s="111">
        <v>45</v>
      </c>
      <c r="V2" s="111">
        <v>44</v>
      </c>
      <c r="W2" s="111">
        <v>47</v>
      </c>
      <c r="X2" s="111"/>
    </row>
    <row r="3" spans="1:24">
      <c r="A3" s="111" t="s">
        <v>110</v>
      </c>
      <c r="B3" s="111">
        <v>28</v>
      </c>
      <c r="C3" s="111">
        <v>36</v>
      </c>
      <c r="D3" s="111">
        <v>52</v>
      </c>
      <c r="E3" s="111">
        <v>61</v>
      </c>
      <c r="F3" s="111">
        <v>28</v>
      </c>
      <c r="G3" s="111">
        <v>10</v>
      </c>
      <c r="H3" s="111">
        <v>27</v>
      </c>
      <c r="I3" s="111">
        <v>28</v>
      </c>
      <c r="J3" s="111">
        <v>51</v>
      </c>
      <c r="K3" s="111">
        <v>26</v>
      </c>
      <c r="L3" s="111">
        <v>39</v>
      </c>
      <c r="M3" s="111">
        <v>7</v>
      </c>
      <c r="N3" s="111">
        <v>30</v>
      </c>
      <c r="O3" s="111">
        <v>30</v>
      </c>
      <c r="P3" s="111">
        <v>16</v>
      </c>
      <c r="Q3" s="111">
        <v>-11</v>
      </c>
      <c r="R3" s="111">
        <v>-3</v>
      </c>
      <c r="S3" s="111">
        <v>32</v>
      </c>
      <c r="T3" s="111">
        <v>-10</v>
      </c>
      <c r="U3" s="111">
        <v>37</v>
      </c>
      <c r="V3" s="111">
        <v>35</v>
      </c>
      <c r="W3" s="111">
        <v>30</v>
      </c>
      <c r="X3" s="111"/>
    </row>
    <row r="4" spans="1:24">
      <c r="A4" s="111" t="s">
        <v>61</v>
      </c>
      <c r="B4" s="111">
        <v>19</v>
      </c>
      <c r="C4" s="111">
        <v>16</v>
      </c>
      <c r="D4" s="111">
        <v>29</v>
      </c>
      <c r="E4" s="111">
        <v>19</v>
      </c>
      <c r="F4" s="111">
        <v>24</v>
      </c>
      <c r="G4" s="111">
        <v>28</v>
      </c>
      <c r="H4" s="111">
        <v>39</v>
      </c>
      <c r="I4" s="111">
        <v>23</v>
      </c>
      <c r="J4" s="111">
        <v>31</v>
      </c>
      <c r="K4" s="111">
        <v>25</v>
      </c>
      <c r="L4" s="111">
        <v>20</v>
      </c>
      <c r="M4" s="111">
        <v>32</v>
      </c>
      <c r="N4" s="111">
        <v>29</v>
      </c>
      <c r="O4" s="111">
        <v>17</v>
      </c>
      <c r="P4" s="111">
        <v>39</v>
      </c>
      <c r="Q4" s="111">
        <v>20</v>
      </c>
      <c r="R4" s="111">
        <v>6</v>
      </c>
      <c r="S4" s="111">
        <v>-4</v>
      </c>
      <c r="T4" s="111">
        <v>41</v>
      </c>
      <c r="U4" s="111">
        <v>13</v>
      </c>
      <c r="V4" s="111">
        <v>26</v>
      </c>
      <c r="W4" s="111">
        <v>14</v>
      </c>
      <c r="X4" s="111"/>
    </row>
    <row r="5" spans="1:24">
      <c r="A5" s="111" t="s">
        <v>57</v>
      </c>
      <c r="B5" s="111">
        <v>-1</v>
      </c>
      <c r="C5" s="111">
        <v>7</v>
      </c>
      <c r="D5" s="111">
        <v>19</v>
      </c>
      <c r="E5" s="111">
        <v>0</v>
      </c>
      <c r="F5" s="111">
        <v>1</v>
      </c>
      <c r="G5" s="111">
        <v>6</v>
      </c>
      <c r="H5" s="111">
        <v>-2</v>
      </c>
      <c r="I5" s="111">
        <v>2</v>
      </c>
      <c r="J5" s="111">
        <v>29</v>
      </c>
      <c r="K5" s="111">
        <v>38</v>
      </c>
      <c r="L5" s="111">
        <v>29</v>
      </c>
      <c r="M5" s="111">
        <v>15</v>
      </c>
      <c r="N5" s="111">
        <v>25</v>
      </c>
      <c r="O5" s="111">
        <v>9</v>
      </c>
      <c r="P5" s="111">
        <v>30</v>
      </c>
      <c r="Q5" s="111">
        <v>31</v>
      </c>
      <c r="R5" s="111">
        <v>41</v>
      </c>
      <c r="S5" s="111">
        <v>46</v>
      </c>
      <c r="T5" s="111">
        <v>48</v>
      </c>
      <c r="U5" s="111">
        <v>57</v>
      </c>
      <c r="V5" s="111">
        <v>-14</v>
      </c>
      <c r="W5" s="111">
        <v>22</v>
      </c>
      <c r="X5" s="111"/>
    </row>
    <row r="6" spans="1:24">
      <c r="A6" s="111" t="s">
        <v>73</v>
      </c>
      <c r="B6" s="111">
        <v>39</v>
      </c>
      <c r="C6" s="111">
        <v>23</v>
      </c>
      <c r="D6" s="111">
        <v>23</v>
      </c>
      <c r="E6" s="111">
        <v>27</v>
      </c>
      <c r="F6" s="111">
        <v>25</v>
      </c>
      <c r="G6" s="111">
        <v>27</v>
      </c>
      <c r="H6" s="111">
        <v>14</v>
      </c>
      <c r="I6" s="111">
        <v>27</v>
      </c>
      <c r="J6" s="111">
        <v>28</v>
      </c>
      <c r="K6" s="111">
        <v>12</v>
      </c>
      <c r="L6" s="111">
        <v>7</v>
      </c>
      <c r="M6" s="111">
        <v>2</v>
      </c>
      <c r="N6" s="111">
        <v>62</v>
      </c>
      <c r="O6" s="111">
        <v>5</v>
      </c>
      <c r="P6" s="111">
        <v>-1</v>
      </c>
      <c r="Q6" s="111">
        <v>16</v>
      </c>
      <c r="R6" s="111">
        <v>25</v>
      </c>
      <c r="S6" s="111">
        <v>-9</v>
      </c>
      <c r="T6" s="111">
        <v>-16</v>
      </c>
      <c r="U6" s="111">
        <v>39</v>
      </c>
      <c r="V6" s="111">
        <v>12</v>
      </c>
      <c r="W6" s="111">
        <v>16</v>
      </c>
      <c r="X6" s="111"/>
    </row>
    <row r="7" spans="1:24">
      <c r="A7" s="111" t="s">
        <v>69</v>
      </c>
      <c r="B7" s="111">
        <v>19</v>
      </c>
      <c r="C7" s="111">
        <v>12</v>
      </c>
      <c r="D7" s="111">
        <v>8</v>
      </c>
      <c r="E7" s="111">
        <v>21</v>
      </c>
      <c r="F7" s="111">
        <v>20</v>
      </c>
      <c r="G7" s="111">
        <v>6</v>
      </c>
      <c r="H7" s="111">
        <v>19</v>
      </c>
      <c r="I7" s="111">
        <v>22</v>
      </c>
      <c r="J7" s="111">
        <v>31</v>
      </c>
      <c r="K7" s="111">
        <v>4</v>
      </c>
      <c r="L7" s="111">
        <v>12</v>
      </c>
      <c r="M7" s="111">
        <v>-8</v>
      </c>
      <c r="N7" s="111">
        <v>31</v>
      </c>
      <c r="O7" s="111">
        <v>38</v>
      </c>
      <c r="P7" s="111">
        <v>45</v>
      </c>
      <c r="Q7" s="111">
        <v>18</v>
      </c>
      <c r="R7" s="111">
        <v>-14</v>
      </c>
      <c r="S7" s="111">
        <v>32</v>
      </c>
      <c r="T7" s="111">
        <v>19</v>
      </c>
      <c r="U7" s="111">
        <v>21</v>
      </c>
      <c r="V7" s="111">
        <v>34</v>
      </c>
      <c r="W7" s="111">
        <v>4</v>
      </c>
      <c r="X7" s="111"/>
    </row>
    <row r="8" spans="1:24">
      <c r="A8" s="111" t="s">
        <v>59</v>
      </c>
      <c r="B8" s="111">
        <v>16</v>
      </c>
      <c r="C8" s="111">
        <v>18</v>
      </c>
      <c r="D8" s="111">
        <v>-7</v>
      </c>
      <c r="E8" s="111">
        <v>25</v>
      </c>
      <c r="F8" s="111">
        <v>28</v>
      </c>
      <c r="G8" s="111">
        <v>16</v>
      </c>
      <c r="H8" s="111">
        <v>31</v>
      </c>
      <c r="I8" s="111">
        <v>-12</v>
      </c>
      <c r="J8" s="111">
        <v>34</v>
      </c>
      <c r="K8" s="111">
        <v>18</v>
      </c>
      <c r="L8" s="111">
        <v>27</v>
      </c>
      <c r="M8" s="111">
        <v>28</v>
      </c>
      <c r="N8" s="111">
        <v>6</v>
      </c>
      <c r="O8" s="111">
        <v>17</v>
      </c>
      <c r="P8" s="111">
        <v>-2</v>
      </c>
      <c r="Q8" s="111">
        <v>14</v>
      </c>
      <c r="R8" s="111">
        <v>37</v>
      </c>
      <c r="S8" s="111">
        <v>25</v>
      </c>
      <c r="T8" s="111">
        <v>18</v>
      </c>
      <c r="U8" s="111">
        <v>1</v>
      </c>
      <c r="V8" s="111">
        <v>14</v>
      </c>
      <c r="W8" s="111">
        <v>32</v>
      </c>
      <c r="X8" s="111"/>
    </row>
    <row r="9" spans="1:24">
      <c r="A9" s="111" t="s">
        <v>60</v>
      </c>
      <c r="B9" s="111">
        <v>-11</v>
      </c>
      <c r="C9" s="111">
        <v>27</v>
      </c>
      <c r="D9" s="111">
        <v>-15</v>
      </c>
      <c r="E9" s="111">
        <v>29</v>
      </c>
      <c r="F9" s="111">
        <v>16</v>
      </c>
      <c r="G9" s="111">
        <v>16</v>
      </c>
      <c r="H9" s="111">
        <v>14</v>
      </c>
      <c r="I9" s="111">
        <v>19</v>
      </c>
      <c r="J9" s="111">
        <v>32</v>
      </c>
      <c r="K9" s="111">
        <v>6</v>
      </c>
      <c r="L9" s="111">
        <v>12</v>
      </c>
      <c r="M9" s="111">
        <v>26</v>
      </c>
      <c r="N9" s="111">
        <v>-7</v>
      </c>
      <c r="O9" s="111">
        <v>24</v>
      </c>
      <c r="P9" s="111">
        <v>22</v>
      </c>
      <c r="Q9" s="111">
        <v>22</v>
      </c>
      <c r="R9" s="111">
        <v>22</v>
      </c>
      <c r="S9" s="111">
        <v>-10</v>
      </c>
      <c r="T9" s="111">
        <v>24</v>
      </c>
      <c r="U9" s="111">
        <v>-3</v>
      </c>
      <c r="V9" s="111">
        <v>41</v>
      </c>
      <c r="W9" s="111">
        <v>29</v>
      </c>
      <c r="X9" s="111"/>
    </row>
    <row r="10" spans="1:24">
      <c r="A10" s="111" t="s">
        <v>58</v>
      </c>
      <c r="B10" s="111">
        <v>-16</v>
      </c>
      <c r="C10" s="111">
        <v>2</v>
      </c>
      <c r="D10" s="111">
        <v>16</v>
      </c>
      <c r="E10" s="111">
        <v>8</v>
      </c>
      <c r="F10" s="111">
        <v>5</v>
      </c>
      <c r="G10" s="111">
        <v>4</v>
      </c>
      <c r="H10" s="111">
        <v>3</v>
      </c>
      <c r="I10" s="111">
        <v>3</v>
      </c>
      <c r="J10" s="111">
        <v>20</v>
      </c>
      <c r="K10" s="111">
        <v>20</v>
      </c>
      <c r="L10" s="111">
        <v>18</v>
      </c>
      <c r="M10" s="111">
        <v>-7</v>
      </c>
      <c r="N10" s="111">
        <v>18</v>
      </c>
      <c r="O10" s="111">
        <v>15</v>
      </c>
      <c r="P10" s="111">
        <v>24</v>
      </c>
      <c r="Q10" s="111">
        <v>35</v>
      </c>
      <c r="R10" s="111">
        <v>56</v>
      </c>
      <c r="S10" s="111">
        <v>-20</v>
      </c>
      <c r="T10" s="111">
        <v>14</v>
      </c>
      <c r="U10" s="111">
        <v>3</v>
      </c>
      <c r="V10" s="111">
        <v>39</v>
      </c>
      <c r="W10" s="111">
        <v>19</v>
      </c>
      <c r="X10" s="111"/>
    </row>
    <row r="11" spans="1:24">
      <c r="A11" s="111" t="s">
        <v>68</v>
      </c>
      <c r="B11" s="111">
        <v>17</v>
      </c>
      <c r="C11" s="111">
        <v>-14</v>
      </c>
      <c r="D11" s="111">
        <v>21</v>
      </c>
      <c r="E11" s="111">
        <v>18</v>
      </c>
      <c r="F11" s="111">
        <v>12</v>
      </c>
      <c r="G11" s="111">
        <v>-17</v>
      </c>
      <c r="H11" s="111">
        <v>16</v>
      </c>
      <c r="I11" s="111">
        <v>14</v>
      </c>
      <c r="J11" s="111">
        <v>25</v>
      </c>
      <c r="K11" s="111">
        <v>2</v>
      </c>
      <c r="L11" s="111">
        <v>9</v>
      </c>
      <c r="M11" s="111">
        <v>12</v>
      </c>
      <c r="N11" s="111">
        <v>10</v>
      </c>
      <c r="O11" s="111">
        <v>7</v>
      </c>
      <c r="P11" s="111">
        <v>0</v>
      </c>
      <c r="Q11" s="111">
        <v>-14</v>
      </c>
      <c r="R11" s="111">
        <v>17</v>
      </c>
      <c r="S11" s="111">
        <v>10</v>
      </c>
      <c r="T11" s="111">
        <v>8</v>
      </c>
      <c r="U11" s="111">
        <v>28</v>
      </c>
      <c r="V11" s="111">
        <v>39</v>
      </c>
      <c r="W11" s="111">
        <v>11</v>
      </c>
      <c r="X11" s="111"/>
    </row>
    <row r="12" spans="1:24">
      <c r="A12" s="111" t="s">
        <v>72</v>
      </c>
      <c r="B12" s="111">
        <v>20</v>
      </c>
      <c r="C12" s="111">
        <v>6</v>
      </c>
      <c r="D12" s="111">
        <v>1</v>
      </c>
      <c r="E12" s="111">
        <v>17</v>
      </c>
      <c r="F12" s="111">
        <v>10</v>
      </c>
      <c r="G12" s="111">
        <v>10</v>
      </c>
      <c r="H12" s="111">
        <v>14</v>
      </c>
      <c r="I12" s="111">
        <v>8</v>
      </c>
      <c r="J12" s="111">
        <v>7</v>
      </c>
      <c r="K12" s="111">
        <v>-3</v>
      </c>
      <c r="L12" s="111">
        <v>-19</v>
      </c>
      <c r="M12" s="111">
        <v>17</v>
      </c>
      <c r="N12" s="111">
        <v>39</v>
      </c>
      <c r="O12" s="111">
        <v>3</v>
      </c>
      <c r="P12" s="111">
        <v>21</v>
      </c>
      <c r="Q12" s="111">
        <v>7</v>
      </c>
      <c r="R12" s="111">
        <v>11</v>
      </c>
      <c r="S12" s="111">
        <v>22</v>
      </c>
      <c r="T12" s="111">
        <v>10</v>
      </c>
      <c r="U12" s="111">
        <v>24</v>
      </c>
      <c r="V12" s="111">
        <v>1</v>
      </c>
      <c r="W12" s="111">
        <v>4</v>
      </c>
      <c r="X12" s="111"/>
    </row>
    <row r="13" spans="1:24">
      <c r="A13" s="111" t="s">
        <v>65</v>
      </c>
      <c r="B13" s="111">
        <v>8</v>
      </c>
      <c r="C13" s="111">
        <v>9</v>
      </c>
      <c r="D13" s="111">
        <v>7</v>
      </c>
      <c r="E13" s="111">
        <v>-13</v>
      </c>
      <c r="F13" s="111">
        <v>16</v>
      </c>
      <c r="G13" s="111">
        <v>-4</v>
      </c>
      <c r="H13" s="111">
        <v>11</v>
      </c>
      <c r="I13" s="111">
        <v>8</v>
      </c>
      <c r="J13" s="111">
        <v>4</v>
      </c>
      <c r="K13" s="111">
        <v>3</v>
      </c>
      <c r="L13" s="111">
        <v>5</v>
      </c>
      <c r="M13" s="111">
        <v>7</v>
      </c>
      <c r="N13" s="111">
        <v>16</v>
      </c>
      <c r="O13" s="111">
        <v>-20</v>
      </c>
      <c r="P13" s="111">
        <v>-17</v>
      </c>
      <c r="Q13" s="111">
        <v>2</v>
      </c>
      <c r="R13" s="111">
        <v>11</v>
      </c>
      <c r="S13" s="111">
        <v>30</v>
      </c>
      <c r="T13" s="111">
        <v>20</v>
      </c>
      <c r="U13" s="111">
        <v>22</v>
      </c>
      <c r="V13" s="111">
        <v>14</v>
      </c>
      <c r="W13" s="111">
        <v>21</v>
      </c>
      <c r="X13" s="111"/>
    </row>
    <row r="14" spans="1:24">
      <c r="A14" s="111" t="s">
        <v>107</v>
      </c>
      <c r="B14" s="111"/>
      <c r="C14" s="111"/>
      <c r="D14" s="111"/>
      <c r="E14" s="111"/>
      <c r="F14" s="111"/>
      <c r="G14" s="111"/>
      <c r="H14" s="111"/>
      <c r="I14" s="111"/>
      <c r="J14" s="111"/>
      <c r="K14" s="111"/>
      <c r="L14" s="111">
        <v>2</v>
      </c>
      <c r="M14" s="111">
        <v>7</v>
      </c>
      <c r="N14" s="111"/>
      <c r="O14" s="111"/>
      <c r="P14" s="111"/>
      <c r="Q14" s="111"/>
      <c r="R14" s="111"/>
      <c r="S14" s="111">
        <v>1</v>
      </c>
      <c r="T14" s="111">
        <v>12</v>
      </c>
      <c r="U14" s="111">
        <v>10</v>
      </c>
      <c r="V14" s="111">
        <v>6</v>
      </c>
      <c r="W14" s="111">
        <v>11</v>
      </c>
      <c r="X14" s="111"/>
    </row>
    <row r="15" spans="1:24">
      <c r="A15" s="111" t="s">
        <v>106</v>
      </c>
      <c r="B15" s="111">
        <v>15</v>
      </c>
      <c r="C15" s="111">
        <v>6</v>
      </c>
      <c r="D15" s="111">
        <v>15</v>
      </c>
      <c r="E15" s="111">
        <v>-10</v>
      </c>
      <c r="F15" s="111">
        <v>1</v>
      </c>
      <c r="G15" s="111">
        <v>11</v>
      </c>
      <c r="H15" s="111">
        <v>16</v>
      </c>
      <c r="I15" s="111">
        <v>4</v>
      </c>
      <c r="J15" s="111">
        <v>10</v>
      </c>
      <c r="K15" s="111">
        <v>6</v>
      </c>
      <c r="L15" s="111">
        <v>-4</v>
      </c>
      <c r="M15" s="111">
        <v>18</v>
      </c>
      <c r="N15" s="111">
        <v>-9</v>
      </c>
      <c r="O15" s="111">
        <v>3</v>
      </c>
      <c r="P15" s="111">
        <v>11</v>
      </c>
      <c r="Q15" s="111">
        <v>8</v>
      </c>
      <c r="R15" s="111">
        <v>19</v>
      </c>
      <c r="S15" s="111">
        <v>2</v>
      </c>
      <c r="T15" s="111">
        <v>2</v>
      </c>
      <c r="U15" s="111">
        <v>-11</v>
      </c>
      <c r="V15" s="111">
        <v>12</v>
      </c>
      <c r="W15" s="111">
        <v>10</v>
      </c>
      <c r="X15" s="111"/>
    </row>
    <row r="16" spans="1:24">
      <c r="A16" s="111" t="s">
        <v>64</v>
      </c>
      <c r="B16" s="111">
        <v>13</v>
      </c>
      <c r="C16" s="111">
        <v>-17</v>
      </c>
      <c r="D16" s="111">
        <v>-15</v>
      </c>
      <c r="E16" s="111">
        <v>2</v>
      </c>
      <c r="F16" s="111">
        <v>-1</v>
      </c>
      <c r="G16" s="111">
        <v>0</v>
      </c>
      <c r="H16" s="111">
        <v>5</v>
      </c>
      <c r="I16" s="111">
        <v>22</v>
      </c>
      <c r="J16" s="111">
        <v>11</v>
      </c>
      <c r="K16" s="111">
        <v>8</v>
      </c>
      <c r="L16" s="111">
        <v>8</v>
      </c>
      <c r="M16" s="111">
        <v>19</v>
      </c>
      <c r="N16" s="111">
        <v>17</v>
      </c>
      <c r="O16" s="111">
        <v>12</v>
      </c>
      <c r="P16" s="111">
        <v>12</v>
      </c>
      <c r="Q16" s="111">
        <v>-15</v>
      </c>
      <c r="R16" s="111">
        <v>23</v>
      </c>
      <c r="S16" s="111">
        <v>14</v>
      </c>
      <c r="T16" s="111">
        <v>13</v>
      </c>
      <c r="U16" s="111">
        <v>-11</v>
      </c>
      <c r="V16" s="111">
        <v>0</v>
      </c>
      <c r="W16" s="111">
        <v>6</v>
      </c>
      <c r="X16" s="111"/>
    </row>
    <row r="17" spans="1:24">
      <c r="A17" s="111" t="s">
        <v>66</v>
      </c>
      <c r="B17" s="111">
        <v>-17</v>
      </c>
      <c r="C17" s="111">
        <v>7</v>
      </c>
      <c r="D17" s="111">
        <v>2</v>
      </c>
      <c r="E17" s="111">
        <v>7</v>
      </c>
      <c r="F17" s="111">
        <v>8</v>
      </c>
      <c r="G17" s="111">
        <v>32</v>
      </c>
      <c r="H17" s="111">
        <v>9</v>
      </c>
      <c r="I17" s="111">
        <v>11</v>
      </c>
      <c r="J17" s="111">
        <v>9</v>
      </c>
      <c r="K17" s="111">
        <v>-18</v>
      </c>
      <c r="L17" s="111">
        <v>-19</v>
      </c>
      <c r="M17" s="111">
        <v>23</v>
      </c>
      <c r="N17" s="111">
        <v>26</v>
      </c>
      <c r="O17" s="111">
        <v>-18</v>
      </c>
      <c r="P17" s="111">
        <v>-13</v>
      </c>
      <c r="Q17" s="111">
        <v>10</v>
      </c>
      <c r="R17" s="111">
        <v>2</v>
      </c>
      <c r="S17" s="111">
        <v>-10</v>
      </c>
      <c r="T17" s="111">
        <v>10</v>
      </c>
      <c r="U17" s="111">
        <v>17</v>
      </c>
      <c r="V17" s="111">
        <v>40</v>
      </c>
      <c r="W17" s="111">
        <v>2</v>
      </c>
      <c r="X17" s="111"/>
    </row>
    <row r="18" spans="1:24">
      <c r="A18" s="111" t="s">
        <v>71</v>
      </c>
      <c r="B18" s="111"/>
      <c r="C18" s="111"/>
      <c r="D18" s="111"/>
      <c r="E18" s="111"/>
      <c r="F18" s="111"/>
      <c r="G18" s="111"/>
      <c r="H18" s="111"/>
      <c r="I18" s="111"/>
      <c r="J18" s="111"/>
      <c r="K18" s="111"/>
      <c r="L18" s="111"/>
      <c r="M18" s="111"/>
      <c r="N18" s="111">
        <v>19</v>
      </c>
      <c r="O18" s="111">
        <v>5</v>
      </c>
      <c r="P18" s="111">
        <v>8</v>
      </c>
      <c r="Q18" s="111">
        <v>5</v>
      </c>
      <c r="R18" s="111">
        <v>-16</v>
      </c>
      <c r="S18" s="111"/>
      <c r="T18" s="111"/>
      <c r="U18" s="111"/>
      <c r="V18" s="111"/>
      <c r="W18" s="111"/>
      <c r="X18" s="111"/>
    </row>
    <row r="19" spans="1:24">
      <c r="A19" s="111" t="s">
        <v>105</v>
      </c>
      <c r="B19" s="111">
        <v>8</v>
      </c>
      <c r="C19" s="111">
        <v>9</v>
      </c>
      <c r="D19" s="111">
        <v>2</v>
      </c>
      <c r="E19" s="111">
        <v>16</v>
      </c>
      <c r="F19" s="111">
        <v>6</v>
      </c>
      <c r="G19" s="111">
        <v>1</v>
      </c>
      <c r="H19" s="111">
        <v>9</v>
      </c>
      <c r="I19" s="111">
        <v>0</v>
      </c>
      <c r="J19" s="111">
        <v>13</v>
      </c>
      <c r="K19" s="111">
        <v>-19</v>
      </c>
      <c r="L19" s="111">
        <v>5</v>
      </c>
      <c r="M19" s="111">
        <v>9</v>
      </c>
      <c r="N19" s="111">
        <v>14</v>
      </c>
      <c r="O19" s="111">
        <v>1</v>
      </c>
      <c r="P19" s="111">
        <v>8</v>
      </c>
      <c r="Q19" s="111">
        <v>4</v>
      </c>
      <c r="R19" s="111">
        <v>23</v>
      </c>
      <c r="S19" s="111">
        <v>12</v>
      </c>
      <c r="T19" s="111">
        <v>-16</v>
      </c>
      <c r="U19" s="111">
        <v>-21</v>
      </c>
      <c r="V19" s="111">
        <v>5</v>
      </c>
      <c r="W19" s="111">
        <v>0</v>
      </c>
      <c r="X19" s="111"/>
    </row>
    <row r="20" spans="1:24">
      <c r="A20" s="111" t="s">
        <v>67</v>
      </c>
      <c r="B20" s="111">
        <v>-1</v>
      </c>
      <c r="C20" s="111">
        <v>1</v>
      </c>
      <c r="D20" s="111">
        <v>11</v>
      </c>
      <c r="E20" s="111">
        <v>2</v>
      </c>
      <c r="F20" s="111">
        <v>4</v>
      </c>
      <c r="G20" s="111">
        <v>7</v>
      </c>
      <c r="H20" s="111">
        <v>3</v>
      </c>
      <c r="I20" s="111">
        <v>-1</v>
      </c>
      <c r="J20" s="111">
        <v>-4</v>
      </c>
      <c r="K20" s="111">
        <v>0</v>
      </c>
      <c r="L20" s="111">
        <v>0</v>
      </c>
      <c r="M20" s="111">
        <v>13</v>
      </c>
      <c r="N20" s="111">
        <v>11</v>
      </c>
      <c r="O20" s="111">
        <v>-2</v>
      </c>
      <c r="P20" s="111">
        <v>0</v>
      </c>
      <c r="Q20" s="111">
        <v>10</v>
      </c>
      <c r="R20" s="111">
        <v>-18</v>
      </c>
      <c r="S20" s="111">
        <v>17</v>
      </c>
      <c r="T20" s="111">
        <v>8</v>
      </c>
      <c r="U20" s="111">
        <v>-1</v>
      </c>
      <c r="V20" s="111">
        <v>2</v>
      </c>
      <c r="W20" s="111">
        <v>-3</v>
      </c>
      <c r="X20" s="111"/>
    </row>
    <row r="21" spans="1:24">
      <c r="A21" s="111" t="s">
        <v>114</v>
      </c>
      <c r="B21" s="111">
        <v>8</v>
      </c>
      <c r="C21" s="111">
        <v>7</v>
      </c>
      <c r="D21" s="111">
        <v>3</v>
      </c>
      <c r="E21" s="111">
        <v>-15</v>
      </c>
      <c r="F21" s="111">
        <v>0</v>
      </c>
      <c r="G21" s="111">
        <v>0</v>
      </c>
      <c r="H21" s="111">
        <v>6</v>
      </c>
      <c r="I21" s="111">
        <v>-1</v>
      </c>
      <c r="J21" s="111">
        <v>9</v>
      </c>
      <c r="K21" s="111">
        <v>3</v>
      </c>
      <c r="L21" s="111"/>
      <c r="M21" s="111"/>
      <c r="N21" s="111"/>
      <c r="O21" s="111"/>
      <c r="P21" s="111"/>
      <c r="Q21" s="111"/>
      <c r="R21" s="111"/>
      <c r="S21" s="111"/>
      <c r="T21" s="111"/>
      <c r="U21" s="111"/>
      <c r="V21" s="111"/>
      <c r="W21" s="111"/>
      <c r="X21" s="111"/>
    </row>
    <row r="22" spans="1:24">
      <c r="A22" s="111" t="s">
        <v>108</v>
      </c>
      <c r="B22" s="111">
        <v>13</v>
      </c>
      <c r="C22" s="111">
        <v>-2</v>
      </c>
      <c r="D22" s="111">
        <v>12</v>
      </c>
      <c r="E22" s="111">
        <v>-1</v>
      </c>
      <c r="F22" s="111">
        <v>2</v>
      </c>
      <c r="G22" s="111">
        <v>10</v>
      </c>
      <c r="H22" s="111">
        <v>2</v>
      </c>
      <c r="I22" s="111">
        <v>6</v>
      </c>
      <c r="J22" s="111">
        <v>5</v>
      </c>
      <c r="K22" s="111">
        <v>-5</v>
      </c>
      <c r="L22" s="111">
        <v>0</v>
      </c>
      <c r="M22" s="111">
        <v>7</v>
      </c>
      <c r="N22" s="111">
        <v>14</v>
      </c>
      <c r="O22" s="111">
        <v>8</v>
      </c>
      <c r="P22" s="111">
        <v>-18</v>
      </c>
      <c r="Q22" s="111">
        <v>-17</v>
      </c>
      <c r="R22" s="111">
        <v>15</v>
      </c>
      <c r="S22" s="111">
        <v>10</v>
      </c>
      <c r="T22" s="111">
        <v>2</v>
      </c>
      <c r="U22" s="111">
        <v>-19</v>
      </c>
      <c r="V22" s="111">
        <v>-5</v>
      </c>
      <c r="W22" s="111">
        <v>4</v>
      </c>
      <c r="X22" s="111"/>
    </row>
    <row r="23" spans="1:24">
      <c r="A23" s="111" t="s">
        <v>109</v>
      </c>
      <c r="B23" s="111">
        <v>11</v>
      </c>
      <c r="C23" s="111">
        <v>2</v>
      </c>
      <c r="D23" s="111">
        <v>5</v>
      </c>
      <c r="E23" s="111">
        <v>0</v>
      </c>
      <c r="F23" s="111">
        <v>1</v>
      </c>
      <c r="G23" s="111">
        <v>0</v>
      </c>
      <c r="H23" s="111">
        <v>1</v>
      </c>
      <c r="I23" s="111">
        <v>-19</v>
      </c>
      <c r="J23" s="111">
        <v>19</v>
      </c>
      <c r="K23" s="111">
        <v>6</v>
      </c>
      <c r="L23" s="111">
        <v>2</v>
      </c>
      <c r="M23" s="111">
        <v>3</v>
      </c>
      <c r="N23" s="111">
        <v>-18</v>
      </c>
      <c r="O23" s="111">
        <v>3</v>
      </c>
      <c r="P23" s="111">
        <v>6</v>
      </c>
      <c r="Q23" s="111">
        <v>-21</v>
      </c>
      <c r="R23" s="111">
        <v>-34</v>
      </c>
      <c r="S23" s="111">
        <v>16</v>
      </c>
      <c r="T23" s="111">
        <v>6</v>
      </c>
      <c r="U23" s="111">
        <v>12</v>
      </c>
      <c r="V23" s="111">
        <v>-3</v>
      </c>
      <c r="W23" s="111">
        <v>5</v>
      </c>
      <c r="X23" s="111"/>
    </row>
    <row r="24" spans="1:24">
      <c r="A24" s="112"/>
      <c r="B24" s="111"/>
      <c r="C24" s="111"/>
      <c r="D24" s="111"/>
      <c r="E24" s="111"/>
      <c r="F24" s="111"/>
      <c r="G24" s="111"/>
      <c r="H24" s="111"/>
      <c r="I24" s="111"/>
      <c r="J24" s="111"/>
      <c r="K24" s="111"/>
      <c r="L24" s="111"/>
      <c r="M24" s="111"/>
      <c r="N24" s="111"/>
      <c r="O24" s="111"/>
      <c r="P24" s="111"/>
      <c r="Q24" s="111"/>
      <c r="R24" s="111"/>
      <c r="S24" s="111"/>
      <c r="T24" s="111"/>
      <c r="U24" s="111"/>
      <c r="V24" s="111"/>
      <c r="W24" s="111"/>
      <c r="X24" s="111"/>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5"/>
  </sheetPr>
  <dimension ref="A1:X12"/>
  <sheetViews>
    <sheetView workbookViewId="0">
      <selection activeCell="B1" sqref="B1:W1"/>
    </sheetView>
  </sheetViews>
  <sheetFormatPr baseColWidth="10" defaultRowHeight="16"/>
  <sheetData>
    <row r="1" spans="1:24">
      <c r="B1">
        <v>1</v>
      </c>
      <c r="C1">
        <v>2</v>
      </c>
      <c r="D1">
        <v>3</v>
      </c>
      <c r="E1">
        <v>4</v>
      </c>
      <c r="F1">
        <v>5</v>
      </c>
      <c r="G1">
        <v>7</v>
      </c>
      <c r="H1">
        <v>8</v>
      </c>
      <c r="I1">
        <v>9</v>
      </c>
      <c r="J1">
        <v>10</v>
      </c>
      <c r="K1">
        <v>11</v>
      </c>
      <c r="L1">
        <v>12</v>
      </c>
      <c r="M1">
        <v>13</v>
      </c>
      <c r="N1">
        <v>14</v>
      </c>
      <c r="O1">
        <v>15</v>
      </c>
      <c r="P1">
        <v>16</v>
      </c>
      <c r="Q1">
        <v>17</v>
      </c>
      <c r="R1">
        <v>18</v>
      </c>
      <c r="S1">
        <v>19</v>
      </c>
      <c r="T1">
        <v>20</v>
      </c>
      <c r="U1">
        <v>21</v>
      </c>
      <c r="V1">
        <v>22</v>
      </c>
      <c r="W1">
        <v>23</v>
      </c>
    </row>
    <row r="2" spans="1:24">
      <c r="A2" s="111" t="s">
        <v>80</v>
      </c>
      <c r="B2" s="111">
        <v>78</v>
      </c>
      <c r="C2" s="111">
        <v>95</v>
      </c>
      <c r="D2" s="111">
        <v>98</v>
      </c>
      <c r="E2" s="111">
        <v>108</v>
      </c>
      <c r="F2" s="111">
        <v>97</v>
      </c>
      <c r="G2" s="111">
        <v>63</v>
      </c>
      <c r="H2" s="111">
        <v>96</v>
      </c>
      <c r="I2" s="111">
        <v>86</v>
      </c>
      <c r="J2" s="111">
        <v>112</v>
      </c>
      <c r="K2" s="111">
        <v>77</v>
      </c>
      <c r="L2" s="111">
        <v>95</v>
      </c>
      <c r="M2" s="111">
        <v>80</v>
      </c>
      <c r="N2" s="111">
        <v>101</v>
      </c>
      <c r="O2" s="111">
        <v>81</v>
      </c>
      <c r="P2" s="111">
        <v>54</v>
      </c>
      <c r="Q2" s="111">
        <v>46</v>
      </c>
      <c r="R2" s="111">
        <v>64</v>
      </c>
      <c r="S2" s="111">
        <v>95</v>
      </c>
      <c r="T2" s="111">
        <v>45</v>
      </c>
      <c r="U2" s="111">
        <v>105</v>
      </c>
      <c r="V2" s="111">
        <v>84</v>
      </c>
      <c r="W2" s="111">
        <v>87</v>
      </c>
      <c r="X2" s="111"/>
    </row>
    <row r="3" spans="1:24">
      <c r="A3" s="111" t="s">
        <v>81</v>
      </c>
      <c r="B3" s="111">
        <v>45</v>
      </c>
      <c r="C3" s="111">
        <v>44</v>
      </c>
      <c r="D3" s="111">
        <v>32</v>
      </c>
      <c r="E3" s="111">
        <v>49</v>
      </c>
      <c r="F3" s="111">
        <v>57</v>
      </c>
      <c r="G3" s="111">
        <v>54</v>
      </c>
      <c r="H3" s="111">
        <v>65</v>
      </c>
      <c r="I3" s="111">
        <v>21</v>
      </c>
      <c r="J3" s="111">
        <v>70</v>
      </c>
      <c r="K3" s="111">
        <v>53</v>
      </c>
      <c r="L3" s="111">
        <v>52</v>
      </c>
      <c r="M3" s="111">
        <v>70</v>
      </c>
      <c r="N3" s="111">
        <v>40</v>
      </c>
      <c r="O3" s="111">
        <v>44</v>
      </c>
      <c r="P3" s="111">
        <v>47</v>
      </c>
      <c r="Q3" s="111">
        <v>44</v>
      </c>
      <c r="R3" s="111">
        <v>53</v>
      </c>
      <c r="S3" s="111">
        <v>21</v>
      </c>
      <c r="T3" s="111">
        <v>69</v>
      </c>
      <c r="U3" s="111">
        <v>24</v>
      </c>
      <c r="V3" s="111">
        <v>45</v>
      </c>
      <c r="W3" s="111">
        <v>51</v>
      </c>
      <c r="X3" s="111"/>
    </row>
    <row r="4" spans="1:24">
      <c r="A4" s="111" t="s">
        <v>82</v>
      </c>
      <c r="B4" s="111">
        <v>31</v>
      </c>
      <c r="C4" s="111">
        <v>59</v>
      </c>
      <c r="D4" s="111">
        <v>3</v>
      </c>
      <c r="E4" s="111">
        <v>63</v>
      </c>
      <c r="F4" s="111">
        <v>56</v>
      </c>
      <c r="G4" s="111">
        <v>37</v>
      </c>
      <c r="H4" s="111">
        <v>38</v>
      </c>
      <c r="I4" s="111">
        <v>46</v>
      </c>
      <c r="J4" s="111">
        <v>73</v>
      </c>
      <c r="K4" s="111">
        <v>25</v>
      </c>
      <c r="L4" s="111">
        <v>32</v>
      </c>
      <c r="M4" s="111">
        <v>38</v>
      </c>
      <c r="N4" s="111">
        <v>34</v>
      </c>
      <c r="O4" s="111">
        <v>67</v>
      </c>
      <c r="P4" s="111">
        <v>70</v>
      </c>
      <c r="Q4" s="111">
        <v>65</v>
      </c>
      <c r="R4" s="111">
        <v>18</v>
      </c>
      <c r="S4" s="111">
        <v>25</v>
      </c>
      <c r="T4" s="111">
        <v>63</v>
      </c>
      <c r="U4" s="111">
        <v>28</v>
      </c>
      <c r="V4" s="111">
        <v>78</v>
      </c>
      <c r="W4" s="111">
        <v>48</v>
      </c>
      <c r="X4" s="111"/>
    </row>
    <row r="5" spans="1:24">
      <c r="A5" s="111" t="s">
        <v>79</v>
      </c>
      <c r="B5" s="111">
        <v>-16</v>
      </c>
      <c r="C5" s="111">
        <v>14</v>
      </c>
      <c r="D5" s="111">
        <v>36</v>
      </c>
      <c r="E5" s="111">
        <v>23</v>
      </c>
      <c r="F5" s="111">
        <v>8</v>
      </c>
      <c r="G5" s="111">
        <v>15</v>
      </c>
      <c r="H5" s="111">
        <v>11</v>
      </c>
      <c r="I5" s="111">
        <v>15</v>
      </c>
      <c r="J5" s="111">
        <v>54</v>
      </c>
      <c r="K5" s="111">
        <v>68</v>
      </c>
      <c r="L5" s="111">
        <v>62</v>
      </c>
      <c r="M5" s="111">
        <v>18</v>
      </c>
      <c r="N5" s="111">
        <v>56</v>
      </c>
      <c r="O5" s="111">
        <v>44</v>
      </c>
      <c r="P5" s="111">
        <v>64</v>
      </c>
      <c r="Q5" s="111">
        <v>66</v>
      </c>
      <c r="R5" s="111">
        <v>110</v>
      </c>
      <c r="S5" s="111">
        <v>36</v>
      </c>
      <c r="T5" s="111">
        <v>57</v>
      </c>
      <c r="U5" s="111">
        <v>65</v>
      </c>
      <c r="V5" s="111">
        <v>34</v>
      </c>
      <c r="W5" s="111">
        <v>59</v>
      </c>
      <c r="X5" s="111"/>
    </row>
    <row r="6" spans="1:24">
      <c r="A6" s="111" t="s">
        <v>86</v>
      </c>
      <c r="B6" s="111">
        <v>56</v>
      </c>
      <c r="C6" s="111">
        <v>19</v>
      </c>
      <c r="D6" s="111">
        <v>54</v>
      </c>
      <c r="E6" s="111">
        <v>55</v>
      </c>
      <c r="F6" s="111">
        <v>42</v>
      </c>
      <c r="G6" s="111">
        <v>15</v>
      </c>
      <c r="H6" s="111">
        <v>40</v>
      </c>
      <c r="I6" s="111">
        <v>46</v>
      </c>
      <c r="J6" s="111">
        <v>63</v>
      </c>
      <c r="K6" s="111">
        <v>22</v>
      </c>
      <c r="L6" s="111">
        <v>21</v>
      </c>
      <c r="M6" s="111">
        <v>24</v>
      </c>
      <c r="N6" s="111">
        <v>67</v>
      </c>
      <c r="O6" s="111">
        <v>17</v>
      </c>
      <c r="P6" s="111">
        <v>4</v>
      </c>
      <c r="Q6" s="111">
        <v>7</v>
      </c>
      <c r="R6" s="111">
        <v>47</v>
      </c>
      <c r="S6" s="111">
        <v>0</v>
      </c>
      <c r="T6" s="111">
        <v>-7</v>
      </c>
      <c r="U6" s="111">
        <v>77</v>
      </c>
      <c r="V6" s="111">
        <v>56</v>
      </c>
      <c r="W6" s="111">
        <v>32</v>
      </c>
      <c r="X6" s="111"/>
    </row>
    <row r="7" spans="1:24">
      <c r="A7" s="111" t="s">
        <v>88</v>
      </c>
      <c r="B7" s="111">
        <v>8</v>
      </c>
      <c r="C7" s="111">
        <v>28</v>
      </c>
      <c r="D7" s="111">
        <v>11</v>
      </c>
      <c r="E7" s="111">
        <v>25</v>
      </c>
      <c r="F7" s="111">
        <v>28</v>
      </c>
      <c r="G7" s="111">
        <v>42</v>
      </c>
      <c r="H7" s="111">
        <v>33</v>
      </c>
      <c r="I7" s="111">
        <v>24</v>
      </c>
      <c r="J7" s="111">
        <v>21</v>
      </c>
      <c r="K7" s="111">
        <v>-16</v>
      </c>
      <c r="L7" s="111">
        <v>-35</v>
      </c>
      <c r="M7" s="111">
        <v>43</v>
      </c>
      <c r="N7" s="111">
        <v>66</v>
      </c>
      <c r="O7" s="111">
        <v>-16</v>
      </c>
      <c r="P7" s="111">
        <v>13</v>
      </c>
      <c r="Q7" s="111">
        <v>20</v>
      </c>
      <c r="R7" s="111">
        <v>23</v>
      </c>
      <c r="S7" s="111">
        <v>27</v>
      </c>
      <c r="T7" s="111">
        <v>21</v>
      </c>
      <c r="U7" s="111">
        <v>44</v>
      </c>
      <c r="V7" s="111">
        <v>46</v>
      </c>
      <c r="W7" s="111">
        <v>11</v>
      </c>
      <c r="X7" s="111"/>
    </row>
    <row r="8" spans="1:24">
      <c r="A8" s="111" t="s">
        <v>115</v>
      </c>
      <c r="B8" s="111">
        <v>17</v>
      </c>
      <c r="C8" s="111">
        <v>15</v>
      </c>
      <c r="D8" s="111">
        <v>13</v>
      </c>
      <c r="E8" s="111">
        <v>-23</v>
      </c>
      <c r="F8" s="111">
        <v>17</v>
      </c>
      <c r="G8" s="111">
        <v>1</v>
      </c>
      <c r="H8" s="111">
        <v>20</v>
      </c>
      <c r="I8" s="111">
        <v>6</v>
      </c>
      <c r="J8" s="111">
        <v>20</v>
      </c>
      <c r="K8" s="111">
        <v>5</v>
      </c>
      <c r="L8" s="111">
        <v>8</v>
      </c>
      <c r="M8" s="111">
        <v>18</v>
      </c>
      <c r="N8" s="111">
        <v>40</v>
      </c>
      <c r="O8" s="111">
        <v>-12</v>
      </c>
      <c r="P8" s="111">
        <v>-4</v>
      </c>
      <c r="Q8" s="111">
        <v>15</v>
      </c>
      <c r="R8" s="111">
        <v>-4</v>
      </c>
      <c r="S8" s="111">
        <v>34</v>
      </c>
      <c r="T8" s="111">
        <v>42</v>
      </c>
      <c r="U8" s="111">
        <v>31</v>
      </c>
      <c r="V8" s="111">
        <v>26</v>
      </c>
      <c r="W8" s="111">
        <v>27</v>
      </c>
      <c r="X8" s="111"/>
    </row>
    <row r="9" spans="1:24">
      <c r="A9" s="111" t="s">
        <v>116</v>
      </c>
      <c r="B9" s="111">
        <v>31</v>
      </c>
      <c r="C9" s="111">
        <v>7</v>
      </c>
      <c r="D9" s="111">
        <v>26</v>
      </c>
      <c r="E9" s="111">
        <v>-10</v>
      </c>
      <c r="F9" s="111">
        <v>8</v>
      </c>
      <c r="G9" s="111">
        <v>22</v>
      </c>
      <c r="H9" s="111">
        <v>19</v>
      </c>
      <c r="I9" s="111">
        <v>11</v>
      </c>
      <c r="J9" s="111">
        <v>16</v>
      </c>
      <c r="K9" s="111">
        <v>-5</v>
      </c>
      <c r="L9" s="111">
        <v>6</v>
      </c>
      <c r="M9" s="111">
        <v>26</v>
      </c>
      <c r="N9" s="111">
        <v>4</v>
      </c>
      <c r="O9" s="111">
        <v>12</v>
      </c>
      <c r="P9" s="111">
        <v>-8</v>
      </c>
      <c r="Q9" s="111">
        <v>-10</v>
      </c>
      <c r="R9" s="111">
        <v>39</v>
      </c>
      <c r="S9" s="111">
        <v>15</v>
      </c>
      <c r="T9" s="111">
        <v>14</v>
      </c>
      <c r="U9" s="111">
        <v>-31</v>
      </c>
      <c r="V9" s="111">
        <v>12</v>
      </c>
      <c r="W9" s="111">
        <v>13</v>
      </c>
      <c r="X9" s="111"/>
    </row>
    <row r="10" spans="1:24">
      <c r="A10" s="111" t="s">
        <v>84</v>
      </c>
      <c r="B10" s="111">
        <v>12</v>
      </c>
      <c r="C10" s="111">
        <v>13</v>
      </c>
      <c r="D10" s="111">
        <v>18</v>
      </c>
      <c r="E10" s="111">
        <v>17</v>
      </c>
      <c r="F10" s="111">
        <v>15</v>
      </c>
      <c r="G10" s="111">
        <v>7</v>
      </c>
      <c r="H10" s="111">
        <v>17</v>
      </c>
      <c r="I10" s="111">
        <v>4</v>
      </c>
      <c r="J10" s="111">
        <v>14</v>
      </c>
      <c r="K10" s="111">
        <v>-18</v>
      </c>
      <c r="L10" s="111">
        <v>10</v>
      </c>
      <c r="M10" s="111">
        <v>23</v>
      </c>
      <c r="N10" s="111">
        <v>26</v>
      </c>
      <c r="O10" s="111">
        <v>0</v>
      </c>
      <c r="P10" s="111">
        <v>18</v>
      </c>
      <c r="Q10" s="111">
        <v>15</v>
      </c>
      <c r="R10" s="111">
        <v>6</v>
      </c>
      <c r="S10" s="111">
        <v>30</v>
      </c>
      <c r="T10" s="111">
        <v>-7</v>
      </c>
      <c r="U10" s="111">
        <v>-19</v>
      </c>
      <c r="V10" s="111">
        <v>12</v>
      </c>
      <c r="W10" s="111">
        <v>2</v>
      </c>
      <c r="X10" s="111"/>
    </row>
    <row r="11" spans="1:24">
      <c r="A11" s="111" t="s">
        <v>83</v>
      </c>
      <c r="B11" s="111">
        <v>25</v>
      </c>
      <c r="C11" s="111">
        <v>-16</v>
      </c>
      <c r="D11" s="111">
        <v>-5</v>
      </c>
      <c r="E11" s="111">
        <v>5</v>
      </c>
      <c r="F11" s="111">
        <v>1</v>
      </c>
      <c r="G11" s="111">
        <v>1</v>
      </c>
      <c r="H11" s="111">
        <v>5</v>
      </c>
      <c r="I11" s="111">
        <v>-2</v>
      </c>
      <c r="J11" s="111">
        <v>35</v>
      </c>
      <c r="K11" s="111">
        <v>19</v>
      </c>
      <c r="L11" s="111">
        <v>9</v>
      </c>
      <c r="M11" s="111">
        <v>21</v>
      </c>
      <c r="N11" s="111">
        <v>9</v>
      </c>
      <c r="O11" s="111">
        <v>20</v>
      </c>
      <c r="P11" s="111">
        <v>19</v>
      </c>
      <c r="Q11" s="111">
        <v>-35</v>
      </c>
      <c r="R11" s="111">
        <v>-10</v>
      </c>
      <c r="S11" s="111">
        <v>29</v>
      </c>
      <c r="T11" s="111">
        <v>20</v>
      </c>
      <c r="U11" s="111">
        <v>2</v>
      </c>
      <c r="V11" s="111">
        <v>7</v>
      </c>
      <c r="W11" s="111">
        <v>12</v>
      </c>
      <c r="X11" s="111"/>
    </row>
    <row r="12" spans="1:24">
      <c r="A12" s="112"/>
      <c r="B12" s="111"/>
      <c r="C12" s="111"/>
      <c r="D12" s="111"/>
      <c r="E12" s="111"/>
      <c r="F12" s="111"/>
      <c r="G12" s="111"/>
      <c r="H12" s="111"/>
      <c r="I12" s="111"/>
      <c r="J12" s="111"/>
      <c r="K12" s="111"/>
      <c r="L12" s="111"/>
      <c r="M12" s="111"/>
      <c r="N12" s="111"/>
      <c r="O12" s="111"/>
      <c r="P12" s="111"/>
      <c r="Q12" s="111"/>
      <c r="R12" s="111"/>
      <c r="S12" s="111"/>
      <c r="T12" s="111"/>
      <c r="U12" s="111"/>
      <c r="V12" s="111"/>
      <c r="W12" s="111"/>
      <c r="X12" s="111"/>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7D6DA7-016D-E743-89FE-06CE36FF5FE4}">
  <dimension ref="A1:W23"/>
  <sheetViews>
    <sheetView zoomScale="86" zoomScaleNormal="86" workbookViewId="0">
      <selection activeCell="A2" sqref="A2:A23"/>
    </sheetView>
  </sheetViews>
  <sheetFormatPr baseColWidth="10" defaultRowHeight="16"/>
  <sheetData>
    <row r="1" spans="1:23">
      <c r="B1">
        <v>1</v>
      </c>
      <c r="C1">
        <v>2</v>
      </c>
      <c r="D1">
        <v>3</v>
      </c>
      <c r="E1">
        <v>4</v>
      </c>
      <c r="F1">
        <v>5</v>
      </c>
      <c r="G1">
        <v>7</v>
      </c>
      <c r="H1">
        <v>8</v>
      </c>
      <c r="I1">
        <v>9</v>
      </c>
      <c r="J1">
        <v>10</v>
      </c>
      <c r="K1">
        <v>11</v>
      </c>
      <c r="L1">
        <v>12</v>
      </c>
      <c r="M1">
        <v>13</v>
      </c>
      <c r="N1">
        <v>14</v>
      </c>
      <c r="O1">
        <v>15</v>
      </c>
      <c r="P1">
        <v>16</v>
      </c>
      <c r="Q1">
        <v>17</v>
      </c>
      <c r="R1">
        <v>18</v>
      </c>
      <c r="S1">
        <v>19</v>
      </c>
      <c r="T1">
        <v>20</v>
      </c>
      <c r="U1">
        <v>21</v>
      </c>
      <c r="V1">
        <v>22</v>
      </c>
      <c r="W1">
        <v>23</v>
      </c>
    </row>
    <row r="2" spans="1:23">
      <c r="A2" t="s">
        <v>56</v>
      </c>
      <c r="B2" t="s">
        <v>120</v>
      </c>
      <c r="C2" t="s">
        <v>120</v>
      </c>
      <c r="D2" t="s">
        <v>120</v>
      </c>
      <c r="E2" t="s">
        <v>120</v>
      </c>
      <c r="F2" t="s">
        <v>120</v>
      </c>
      <c r="G2" t="s">
        <v>120</v>
      </c>
      <c r="H2" t="s">
        <v>120</v>
      </c>
      <c r="I2" t="s">
        <v>120</v>
      </c>
      <c r="J2" t="s">
        <v>120</v>
      </c>
      <c r="K2" t="s">
        <v>120</v>
      </c>
      <c r="L2" t="s">
        <v>120</v>
      </c>
      <c r="M2" t="s">
        <v>120</v>
      </c>
      <c r="N2" t="s">
        <v>120</v>
      </c>
      <c r="O2" t="s">
        <v>120</v>
      </c>
      <c r="P2" t="s">
        <v>120</v>
      </c>
      <c r="Q2" t="s">
        <v>120</v>
      </c>
      <c r="R2" t="s">
        <v>120</v>
      </c>
      <c r="S2" t="s">
        <v>120</v>
      </c>
      <c r="T2" t="s">
        <v>120</v>
      </c>
      <c r="U2" t="s">
        <v>120</v>
      </c>
      <c r="V2" t="s">
        <v>120</v>
      </c>
      <c r="W2" t="s">
        <v>120</v>
      </c>
    </row>
    <row r="3" spans="1:23">
      <c r="A3" t="s">
        <v>110</v>
      </c>
      <c r="B3" t="s">
        <v>120</v>
      </c>
      <c r="C3" t="s">
        <v>120</v>
      </c>
      <c r="D3" t="s">
        <v>120</v>
      </c>
      <c r="E3" t="s">
        <v>120</v>
      </c>
      <c r="F3" t="s">
        <v>120</v>
      </c>
      <c r="G3" t="s">
        <v>120</v>
      </c>
      <c r="H3" t="s">
        <v>120</v>
      </c>
      <c r="I3" t="s">
        <v>120</v>
      </c>
      <c r="J3" t="s">
        <v>120</v>
      </c>
      <c r="K3" t="s">
        <v>120</v>
      </c>
      <c r="L3" t="s">
        <v>120</v>
      </c>
      <c r="M3" t="s">
        <v>120</v>
      </c>
      <c r="N3" t="s">
        <v>120</v>
      </c>
      <c r="O3" t="s">
        <v>120</v>
      </c>
      <c r="P3" t="s">
        <v>120</v>
      </c>
      <c r="Q3" t="s">
        <v>120</v>
      </c>
      <c r="R3" t="s">
        <v>120</v>
      </c>
      <c r="S3" t="s">
        <v>120</v>
      </c>
      <c r="T3" t="s">
        <v>120</v>
      </c>
      <c r="U3" t="s">
        <v>120</v>
      </c>
      <c r="V3" t="s">
        <v>120</v>
      </c>
      <c r="W3" t="s">
        <v>120</v>
      </c>
    </row>
    <row r="4" spans="1:23">
      <c r="A4" t="s">
        <v>57</v>
      </c>
      <c r="B4" t="s">
        <v>79</v>
      </c>
      <c r="C4" t="s">
        <v>79</v>
      </c>
      <c r="D4" t="s">
        <v>79</v>
      </c>
      <c r="E4" t="s">
        <v>79</v>
      </c>
      <c r="F4" t="s">
        <v>79</v>
      </c>
      <c r="G4" t="s">
        <v>79</v>
      </c>
      <c r="H4" t="s">
        <v>79</v>
      </c>
      <c r="I4" t="s">
        <v>79</v>
      </c>
      <c r="J4" t="s">
        <v>79</v>
      </c>
      <c r="K4" t="s">
        <v>79</v>
      </c>
      <c r="L4" t="s">
        <v>79</v>
      </c>
      <c r="M4" t="s">
        <v>79</v>
      </c>
      <c r="N4" t="s">
        <v>79</v>
      </c>
      <c r="O4" t="s">
        <v>79</v>
      </c>
      <c r="P4" t="s">
        <v>79</v>
      </c>
      <c r="Q4" t="s">
        <v>79</v>
      </c>
      <c r="R4" t="s">
        <v>79</v>
      </c>
      <c r="S4" t="s">
        <v>79</v>
      </c>
      <c r="T4" t="s">
        <v>79</v>
      </c>
      <c r="U4" t="s">
        <v>79</v>
      </c>
      <c r="V4" t="s">
        <v>79</v>
      </c>
      <c r="W4" t="s">
        <v>79</v>
      </c>
    </row>
    <row r="5" spans="1:23">
      <c r="A5" t="s">
        <v>58</v>
      </c>
      <c r="B5" t="s">
        <v>79</v>
      </c>
      <c r="C5" t="s">
        <v>79</v>
      </c>
      <c r="D5" t="s">
        <v>79</v>
      </c>
      <c r="E5" t="s">
        <v>79</v>
      </c>
      <c r="F5" t="s">
        <v>79</v>
      </c>
      <c r="G5" t="s">
        <v>79</v>
      </c>
      <c r="H5" t="s">
        <v>79</v>
      </c>
      <c r="I5" t="s">
        <v>79</v>
      </c>
      <c r="J5" t="s">
        <v>79</v>
      </c>
      <c r="K5" t="s">
        <v>79</v>
      </c>
      <c r="L5" t="s">
        <v>79</v>
      </c>
      <c r="M5" t="s">
        <v>79</v>
      </c>
      <c r="N5" t="s">
        <v>79</v>
      </c>
      <c r="O5" t="s">
        <v>79</v>
      </c>
      <c r="P5" t="s">
        <v>79</v>
      </c>
      <c r="Q5" t="s">
        <v>79</v>
      </c>
      <c r="R5" t="s">
        <v>79</v>
      </c>
      <c r="S5" t="s">
        <v>79</v>
      </c>
      <c r="T5" t="s">
        <v>79</v>
      </c>
      <c r="U5" t="s">
        <v>79</v>
      </c>
      <c r="V5" t="s">
        <v>79</v>
      </c>
      <c r="W5" t="s">
        <v>79</v>
      </c>
    </row>
    <row r="6" spans="1:23">
      <c r="A6" t="s">
        <v>61</v>
      </c>
      <c r="B6" t="s">
        <v>81</v>
      </c>
      <c r="C6" t="s">
        <v>81</v>
      </c>
      <c r="D6" t="s">
        <v>81</v>
      </c>
      <c r="E6" t="s">
        <v>81</v>
      </c>
      <c r="F6" t="s">
        <v>81</v>
      </c>
      <c r="G6" t="s">
        <v>81</v>
      </c>
      <c r="H6" t="s">
        <v>81</v>
      </c>
      <c r="I6" t="s">
        <v>81</v>
      </c>
      <c r="J6" t="s">
        <v>81</v>
      </c>
      <c r="K6" t="s">
        <v>81</v>
      </c>
      <c r="L6" t="s">
        <v>81</v>
      </c>
      <c r="M6" t="s">
        <v>81</v>
      </c>
      <c r="N6" t="s">
        <v>81</v>
      </c>
      <c r="O6" t="s">
        <v>81</v>
      </c>
      <c r="P6" t="s">
        <v>81</v>
      </c>
      <c r="Q6" t="s">
        <v>81</v>
      </c>
      <c r="R6" t="s">
        <v>81</v>
      </c>
      <c r="S6" t="s">
        <v>81</v>
      </c>
      <c r="T6" t="s">
        <v>81</v>
      </c>
      <c r="U6" t="s">
        <v>81</v>
      </c>
      <c r="V6" t="s">
        <v>81</v>
      </c>
      <c r="W6" t="s">
        <v>81</v>
      </c>
    </row>
    <row r="7" spans="1:23">
      <c r="A7" t="s">
        <v>59</v>
      </c>
      <c r="B7" t="s">
        <v>81</v>
      </c>
      <c r="C7" t="s">
        <v>81</v>
      </c>
      <c r="D7" t="s">
        <v>81</v>
      </c>
      <c r="E7" t="s">
        <v>81</v>
      </c>
      <c r="F7" t="s">
        <v>81</v>
      </c>
      <c r="G7" t="s">
        <v>81</v>
      </c>
      <c r="H7" t="s">
        <v>81</v>
      </c>
      <c r="I7" t="s">
        <v>81</v>
      </c>
      <c r="J7" t="s">
        <v>81</v>
      </c>
      <c r="K7" t="s">
        <v>81</v>
      </c>
      <c r="L7" t="s">
        <v>81</v>
      </c>
      <c r="M7" t="s">
        <v>81</v>
      </c>
      <c r="N7" t="s">
        <v>81</v>
      </c>
      <c r="O7" t="s">
        <v>81</v>
      </c>
      <c r="P7" t="s">
        <v>81</v>
      </c>
      <c r="Q7" t="s">
        <v>81</v>
      </c>
      <c r="R7" t="s">
        <v>81</v>
      </c>
      <c r="S7" t="s">
        <v>81</v>
      </c>
      <c r="T7" t="s">
        <v>81</v>
      </c>
      <c r="U7" t="s">
        <v>81</v>
      </c>
      <c r="V7" t="s">
        <v>81</v>
      </c>
      <c r="W7" t="s">
        <v>81</v>
      </c>
    </row>
    <row r="8" spans="1:23">
      <c r="A8" t="s">
        <v>60</v>
      </c>
      <c r="B8" t="s">
        <v>82</v>
      </c>
      <c r="C8" t="s">
        <v>82</v>
      </c>
      <c r="D8" t="s">
        <v>82</v>
      </c>
      <c r="E8" t="s">
        <v>82</v>
      </c>
      <c r="F8" t="s">
        <v>82</v>
      </c>
      <c r="G8" t="s">
        <v>82</v>
      </c>
      <c r="H8" t="s">
        <v>82</v>
      </c>
      <c r="I8" t="s">
        <v>82</v>
      </c>
      <c r="J8" t="s">
        <v>82</v>
      </c>
      <c r="K8" t="s">
        <v>82</v>
      </c>
      <c r="L8" t="s">
        <v>82</v>
      </c>
      <c r="M8" t="s">
        <v>82</v>
      </c>
      <c r="N8" t="s">
        <v>82</v>
      </c>
      <c r="O8" t="s">
        <v>82</v>
      </c>
      <c r="P8" t="s">
        <v>82</v>
      </c>
      <c r="Q8" t="s">
        <v>82</v>
      </c>
      <c r="R8" t="s">
        <v>82</v>
      </c>
      <c r="S8" t="s">
        <v>82</v>
      </c>
      <c r="T8" t="s">
        <v>82</v>
      </c>
      <c r="U8" t="s">
        <v>82</v>
      </c>
      <c r="V8" t="s">
        <v>82</v>
      </c>
      <c r="W8" t="s">
        <v>82</v>
      </c>
    </row>
    <row r="9" spans="1:23">
      <c r="A9" t="s">
        <v>69</v>
      </c>
      <c r="B9" t="s">
        <v>82</v>
      </c>
      <c r="C9" t="s">
        <v>82</v>
      </c>
      <c r="D9" t="s">
        <v>82</v>
      </c>
      <c r="E9" t="s">
        <v>82</v>
      </c>
      <c r="F9" t="s">
        <v>82</v>
      </c>
      <c r="G9" t="s">
        <v>82</v>
      </c>
      <c r="H9" t="s">
        <v>82</v>
      </c>
      <c r="I9" t="s">
        <v>82</v>
      </c>
      <c r="J9" t="s">
        <v>82</v>
      </c>
      <c r="K9" t="s">
        <v>82</v>
      </c>
      <c r="L9" t="s">
        <v>82</v>
      </c>
      <c r="M9" t="s">
        <v>82</v>
      </c>
      <c r="N9" t="s">
        <v>82</v>
      </c>
      <c r="O9" t="s">
        <v>82</v>
      </c>
      <c r="P9" t="s">
        <v>82</v>
      </c>
      <c r="Q9" t="s">
        <v>82</v>
      </c>
      <c r="R9" t="s">
        <v>82</v>
      </c>
      <c r="S9" t="s">
        <v>82</v>
      </c>
      <c r="T9" t="s">
        <v>82</v>
      </c>
      <c r="U9" t="s">
        <v>82</v>
      </c>
      <c r="V9" t="s">
        <v>82</v>
      </c>
      <c r="W9" t="s">
        <v>82</v>
      </c>
    </row>
    <row r="10" spans="1:23">
      <c r="A10" t="s">
        <v>73</v>
      </c>
      <c r="B10" t="s">
        <v>121</v>
      </c>
      <c r="C10" t="s">
        <v>121</v>
      </c>
      <c r="D10" t="s">
        <v>121</v>
      </c>
      <c r="E10" t="s">
        <v>121</v>
      </c>
      <c r="F10" t="s">
        <v>121</v>
      </c>
      <c r="G10" t="s">
        <v>121</v>
      </c>
      <c r="H10" t="s">
        <v>121</v>
      </c>
      <c r="I10" t="s">
        <v>121</v>
      </c>
      <c r="J10" t="s">
        <v>121</v>
      </c>
      <c r="K10" t="s">
        <v>121</v>
      </c>
      <c r="L10" t="s">
        <v>121</v>
      </c>
      <c r="M10" t="s">
        <v>121</v>
      </c>
      <c r="N10" t="s">
        <v>121</v>
      </c>
      <c r="O10" t="s">
        <v>121</v>
      </c>
      <c r="P10" t="s">
        <v>121</v>
      </c>
      <c r="Q10" t="s">
        <v>121</v>
      </c>
      <c r="R10" t="s">
        <v>121</v>
      </c>
      <c r="S10" t="s">
        <v>121</v>
      </c>
      <c r="T10" t="s">
        <v>121</v>
      </c>
      <c r="U10" t="s">
        <v>121</v>
      </c>
      <c r="V10" t="s">
        <v>121</v>
      </c>
      <c r="W10" t="s">
        <v>121</v>
      </c>
    </row>
    <row r="11" spans="1:23">
      <c r="A11" t="s">
        <v>68</v>
      </c>
      <c r="B11" t="s">
        <v>121</v>
      </c>
      <c r="C11" t="s">
        <v>121</v>
      </c>
      <c r="D11" t="s">
        <v>121</v>
      </c>
      <c r="E11" t="s">
        <v>121</v>
      </c>
      <c r="F11" t="s">
        <v>121</v>
      </c>
      <c r="G11" t="s">
        <v>121</v>
      </c>
      <c r="H11" t="s">
        <v>121</v>
      </c>
      <c r="I11" t="s">
        <v>121</v>
      </c>
      <c r="J11" t="s">
        <v>121</v>
      </c>
      <c r="K11" t="s">
        <v>121</v>
      </c>
      <c r="L11" t="s">
        <v>121</v>
      </c>
      <c r="M11" t="s">
        <v>121</v>
      </c>
      <c r="N11" t="s">
        <v>121</v>
      </c>
      <c r="O11" t="s">
        <v>121</v>
      </c>
      <c r="P11" t="s">
        <v>121</v>
      </c>
      <c r="Q11" t="s">
        <v>121</v>
      </c>
      <c r="R11" t="s">
        <v>121</v>
      </c>
      <c r="S11" t="s">
        <v>121</v>
      </c>
      <c r="T11" t="s">
        <v>121</v>
      </c>
      <c r="U11" t="s">
        <v>121</v>
      </c>
      <c r="V11" t="s">
        <v>121</v>
      </c>
      <c r="W11" t="s">
        <v>121</v>
      </c>
    </row>
    <row r="12" spans="1:23">
      <c r="A12" t="s">
        <v>66</v>
      </c>
      <c r="B12" t="s">
        <v>88</v>
      </c>
      <c r="C12" t="s">
        <v>88</v>
      </c>
      <c r="D12" t="s">
        <v>88</v>
      </c>
      <c r="E12" t="s">
        <v>88</v>
      </c>
      <c r="F12" t="s">
        <v>88</v>
      </c>
      <c r="G12" t="s">
        <v>88</v>
      </c>
      <c r="H12" t="s">
        <v>88</v>
      </c>
      <c r="I12" t="s">
        <v>88</v>
      </c>
      <c r="J12" t="s">
        <v>88</v>
      </c>
      <c r="K12" t="s">
        <v>88</v>
      </c>
      <c r="L12" t="s">
        <v>88</v>
      </c>
      <c r="M12" t="s">
        <v>88</v>
      </c>
      <c r="N12" t="s">
        <v>88</v>
      </c>
      <c r="O12" t="s">
        <v>88</v>
      </c>
      <c r="P12" t="s">
        <v>88</v>
      </c>
      <c r="Q12" t="s">
        <v>88</v>
      </c>
      <c r="R12" t="s">
        <v>88</v>
      </c>
      <c r="S12" t="s">
        <v>88</v>
      </c>
      <c r="T12" t="s">
        <v>88</v>
      </c>
      <c r="U12" t="s">
        <v>88</v>
      </c>
      <c r="V12" t="s">
        <v>88</v>
      </c>
      <c r="W12" t="s">
        <v>88</v>
      </c>
    </row>
    <row r="13" spans="1:23">
      <c r="A13" t="s">
        <v>72</v>
      </c>
      <c r="B13" t="s">
        <v>88</v>
      </c>
      <c r="C13" t="s">
        <v>88</v>
      </c>
      <c r="D13" t="s">
        <v>88</v>
      </c>
      <c r="E13" t="s">
        <v>88</v>
      </c>
      <c r="F13" t="s">
        <v>88</v>
      </c>
      <c r="G13" t="s">
        <v>88</v>
      </c>
      <c r="H13" t="s">
        <v>88</v>
      </c>
      <c r="I13" t="s">
        <v>88</v>
      </c>
      <c r="J13" t="s">
        <v>88</v>
      </c>
      <c r="K13" t="s">
        <v>88</v>
      </c>
      <c r="L13" t="s">
        <v>88</v>
      </c>
      <c r="M13" t="s">
        <v>88</v>
      </c>
      <c r="N13" t="s">
        <v>88</v>
      </c>
      <c r="O13" t="s">
        <v>88</v>
      </c>
      <c r="P13" t="s">
        <v>88</v>
      </c>
      <c r="Q13" t="s">
        <v>88</v>
      </c>
      <c r="R13" t="s">
        <v>88</v>
      </c>
      <c r="S13" t="s">
        <v>88</v>
      </c>
      <c r="T13" t="s">
        <v>88</v>
      </c>
      <c r="U13" t="s">
        <v>88</v>
      </c>
      <c r="V13" t="s">
        <v>88</v>
      </c>
      <c r="W13" t="s">
        <v>88</v>
      </c>
    </row>
    <row r="14" spans="1:23">
      <c r="A14" t="s">
        <v>65</v>
      </c>
      <c r="B14" t="s">
        <v>122</v>
      </c>
      <c r="C14" t="s">
        <v>122</v>
      </c>
      <c r="D14" t="s">
        <v>122</v>
      </c>
      <c r="E14" t="s">
        <v>122</v>
      </c>
      <c r="F14" t="s">
        <v>122</v>
      </c>
      <c r="G14" t="s">
        <v>122</v>
      </c>
      <c r="H14" t="s">
        <v>122</v>
      </c>
      <c r="I14" t="s">
        <v>122</v>
      </c>
      <c r="J14" t="s">
        <v>122</v>
      </c>
      <c r="K14" t="s">
        <v>122</v>
      </c>
      <c r="L14" t="s">
        <v>122</v>
      </c>
      <c r="M14" t="s">
        <v>122</v>
      </c>
      <c r="N14" t="s">
        <v>122</v>
      </c>
      <c r="O14" t="s">
        <v>122</v>
      </c>
      <c r="P14" t="s">
        <v>122</v>
      </c>
      <c r="Q14" t="s">
        <v>122</v>
      </c>
      <c r="R14" t="s">
        <v>122</v>
      </c>
      <c r="S14" t="s">
        <v>122</v>
      </c>
      <c r="T14" t="s">
        <v>122</v>
      </c>
      <c r="U14" t="s">
        <v>122</v>
      </c>
      <c r="V14" t="s">
        <v>122</v>
      </c>
      <c r="W14" t="s">
        <v>122</v>
      </c>
    </row>
    <row r="15" spans="1:23">
      <c r="A15" t="s">
        <v>114</v>
      </c>
      <c r="B15" s="115" t="s">
        <v>122</v>
      </c>
      <c r="C15" s="115" t="s">
        <v>122</v>
      </c>
      <c r="D15" s="115" t="s">
        <v>122</v>
      </c>
      <c r="E15" s="115" t="s">
        <v>122</v>
      </c>
      <c r="F15" s="115" t="s">
        <v>122</v>
      </c>
      <c r="G15" s="115" t="s">
        <v>122</v>
      </c>
      <c r="H15" s="115" t="s">
        <v>122</v>
      </c>
      <c r="I15" s="115" t="s">
        <v>122</v>
      </c>
      <c r="J15" s="115" t="s">
        <v>122</v>
      </c>
      <c r="K15" s="115" t="s">
        <v>122</v>
      </c>
    </row>
    <row r="16" spans="1:23">
      <c r="A16" t="s">
        <v>107</v>
      </c>
      <c r="L16" t="s">
        <v>122</v>
      </c>
      <c r="M16" t="s">
        <v>122</v>
      </c>
      <c r="S16" t="s">
        <v>122</v>
      </c>
      <c r="T16" t="s">
        <v>122</v>
      </c>
      <c r="U16" t="s">
        <v>122</v>
      </c>
      <c r="V16" t="s">
        <v>122</v>
      </c>
      <c r="W16" t="s">
        <v>122</v>
      </c>
    </row>
    <row r="17" spans="1:23">
      <c r="A17" t="s">
        <v>71</v>
      </c>
      <c r="N17" t="s">
        <v>122</v>
      </c>
      <c r="O17" t="s">
        <v>122</v>
      </c>
      <c r="P17" t="s">
        <v>122</v>
      </c>
      <c r="Q17" t="s">
        <v>122</v>
      </c>
      <c r="R17" t="s">
        <v>122</v>
      </c>
    </row>
    <row r="18" spans="1:23">
      <c r="A18" t="s">
        <v>64</v>
      </c>
      <c r="B18" t="s">
        <v>83</v>
      </c>
      <c r="C18" t="s">
        <v>83</v>
      </c>
      <c r="D18" t="s">
        <v>83</v>
      </c>
      <c r="E18" t="s">
        <v>83</v>
      </c>
      <c r="F18" t="s">
        <v>83</v>
      </c>
      <c r="G18" t="s">
        <v>83</v>
      </c>
      <c r="H18" t="s">
        <v>83</v>
      </c>
      <c r="I18" t="s">
        <v>83</v>
      </c>
      <c r="J18" t="s">
        <v>83</v>
      </c>
      <c r="K18" t="s">
        <v>83</v>
      </c>
      <c r="L18" t="s">
        <v>83</v>
      </c>
      <c r="M18" t="s">
        <v>83</v>
      </c>
      <c r="N18" t="s">
        <v>83</v>
      </c>
      <c r="O18" t="s">
        <v>83</v>
      </c>
      <c r="P18" t="s">
        <v>83</v>
      </c>
      <c r="Q18" t="s">
        <v>83</v>
      </c>
      <c r="R18" t="s">
        <v>83</v>
      </c>
      <c r="S18" t="s">
        <v>83</v>
      </c>
      <c r="T18" t="s">
        <v>83</v>
      </c>
      <c r="U18" t="s">
        <v>83</v>
      </c>
      <c r="V18" t="s">
        <v>83</v>
      </c>
      <c r="W18" t="s">
        <v>83</v>
      </c>
    </row>
    <row r="19" spans="1:23">
      <c r="A19" t="s">
        <v>109</v>
      </c>
      <c r="B19" t="s">
        <v>83</v>
      </c>
      <c r="C19" t="s">
        <v>83</v>
      </c>
      <c r="D19" t="s">
        <v>83</v>
      </c>
      <c r="E19" t="s">
        <v>83</v>
      </c>
      <c r="F19" t="s">
        <v>83</v>
      </c>
      <c r="G19" t="s">
        <v>83</v>
      </c>
      <c r="H19" t="s">
        <v>83</v>
      </c>
      <c r="I19" t="s">
        <v>83</v>
      </c>
      <c r="J19" t="s">
        <v>83</v>
      </c>
      <c r="K19" t="s">
        <v>83</v>
      </c>
      <c r="L19" t="s">
        <v>83</v>
      </c>
      <c r="M19" t="s">
        <v>83</v>
      </c>
      <c r="N19" t="s">
        <v>83</v>
      </c>
      <c r="O19" t="s">
        <v>83</v>
      </c>
      <c r="P19" t="s">
        <v>83</v>
      </c>
      <c r="Q19" t="s">
        <v>83</v>
      </c>
      <c r="R19" t="s">
        <v>83</v>
      </c>
      <c r="S19" t="s">
        <v>83</v>
      </c>
      <c r="T19" t="s">
        <v>83</v>
      </c>
      <c r="U19" t="s">
        <v>83</v>
      </c>
      <c r="V19" t="s">
        <v>83</v>
      </c>
      <c r="W19" t="s">
        <v>83</v>
      </c>
    </row>
    <row r="20" spans="1:23">
      <c r="A20" t="s">
        <v>105</v>
      </c>
      <c r="B20" t="s">
        <v>123</v>
      </c>
      <c r="C20" t="s">
        <v>123</v>
      </c>
      <c r="D20" t="s">
        <v>123</v>
      </c>
      <c r="E20" t="s">
        <v>123</v>
      </c>
      <c r="F20" t="s">
        <v>123</v>
      </c>
      <c r="G20" t="s">
        <v>123</v>
      </c>
      <c r="H20" t="s">
        <v>123</v>
      </c>
      <c r="I20" t="s">
        <v>123</v>
      </c>
      <c r="J20" t="s">
        <v>123</v>
      </c>
      <c r="K20" t="s">
        <v>123</v>
      </c>
      <c r="L20" t="s">
        <v>123</v>
      </c>
      <c r="M20" t="s">
        <v>123</v>
      </c>
      <c r="N20" t="s">
        <v>123</v>
      </c>
      <c r="O20" t="s">
        <v>123</v>
      </c>
      <c r="P20" t="s">
        <v>123</v>
      </c>
      <c r="Q20" t="s">
        <v>123</v>
      </c>
      <c r="R20" t="s">
        <v>123</v>
      </c>
      <c r="S20" t="s">
        <v>123</v>
      </c>
      <c r="T20" t="s">
        <v>123</v>
      </c>
      <c r="U20" t="s">
        <v>123</v>
      </c>
      <c r="V20" t="s">
        <v>123</v>
      </c>
      <c r="W20" t="s">
        <v>123</v>
      </c>
    </row>
    <row r="21" spans="1:23">
      <c r="A21" t="s">
        <v>67</v>
      </c>
      <c r="B21" t="s">
        <v>123</v>
      </c>
      <c r="C21" t="s">
        <v>123</v>
      </c>
      <c r="D21" t="s">
        <v>123</v>
      </c>
      <c r="E21" t="s">
        <v>123</v>
      </c>
      <c r="F21" t="s">
        <v>123</v>
      </c>
      <c r="G21" t="s">
        <v>123</v>
      </c>
      <c r="H21" t="s">
        <v>123</v>
      </c>
      <c r="I21" t="s">
        <v>123</v>
      </c>
      <c r="J21" t="s">
        <v>123</v>
      </c>
      <c r="K21" t="s">
        <v>123</v>
      </c>
      <c r="L21" t="s">
        <v>123</v>
      </c>
      <c r="M21" t="s">
        <v>123</v>
      </c>
      <c r="N21" t="s">
        <v>123</v>
      </c>
      <c r="O21" t="s">
        <v>123</v>
      </c>
      <c r="P21" t="s">
        <v>123</v>
      </c>
      <c r="Q21" t="s">
        <v>123</v>
      </c>
      <c r="R21" t="s">
        <v>123</v>
      </c>
      <c r="S21" t="s">
        <v>123</v>
      </c>
      <c r="T21" t="s">
        <v>123</v>
      </c>
      <c r="U21" t="s">
        <v>123</v>
      </c>
      <c r="V21" t="s">
        <v>123</v>
      </c>
      <c r="W21" t="s">
        <v>123</v>
      </c>
    </row>
    <row r="22" spans="1:23">
      <c r="A22" t="s">
        <v>108</v>
      </c>
      <c r="B22" t="s">
        <v>116</v>
      </c>
      <c r="C22" t="s">
        <v>116</v>
      </c>
      <c r="D22" t="s">
        <v>116</v>
      </c>
      <c r="E22" t="s">
        <v>116</v>
      </c>
      <c r="F22" t="s">
        <v>116</v>
      </c>
      <c r="G22" t="s">
        <v>116</v>
      </c>
      <c r="H22" t="s">
        <v>116</v>
      </c>
      <c r="I22" t="s">
        <v>116</v>
      </c>
      <c r="J22" t="s">
        <v>116</v>
      </c>
      <c r="K22" t="s">
        <v>116</v>
      </c>
      <c r="L22" t="s">
        <v>116</v>
      </c>
      <c r="M22" t="s">
        <v>116</v>
      </c>
      <c r="N22" t="s">
        <v>116</v>
      </c>
      <c r="O22" t="s">
        <v>116</v>
      </c>
      <c r="P22" t="s">
        <v>116</v>
      </c>
      <c r="Q22" t="s">
        <v>116</v>
      </c>
      <c r="R22" t="s">
        <v>116</v>
      </c>
      <c r="S22" t="s">
        <v>116</v>
      </c>
      <c r="T22" t="s">
        <v>116</v>
      </c>
      <c r="U22" t="s">
        <v>116</v>
      </c>
      <c r="V22" t="s">
        <v>116</v>
      </c>
      <c r="W22" t="s">
        <v>116</v>
      </c>
    </row>
    <row r="23" spans="1:23">
      <c r="A23" t="s">
        <v>106</v>
      </c>
      <c r="B23" t="s">
        <v>116</v>
      </c>
      <c r="C23" t="s">
        <v>116</v>
      </c>
      <c r="D23" t="s">
        <v>116</v>
      </c>
      <c r="E23" t="s">
        <v>116</v>
      </c>
      <c r="F23" t="s">
        <v>116</v>
      </c>
      <c r="G23" t="s">
        <v>116</v>
      </c>
      <c r="H23" t="s">
        <v>116</v>
      </c>
      <c r="I23" t="s">
        <v>116</v>
      </c>
      <c r="J23" t="s">
        <v>116</v>
      </c>
      <c r="K23" t="s">
        <v>116</v>
      </c>
      <c r="L23" t="s">
        <v>116</v>
      </c>
      <c r="M23" t="s">
        <v>116</v>
      </c>
      <c r="N23" t="s">
        <v>116</v>
      </c>
      <c r="O23" t="s">
        <v>116</v>
      </c>
      <c r="P23" t="s">
        <v>116</v>
      </c>
      <c r="Q23" t="s">
        <v>116</v>
      </c>
      <c r="R23" t="s">
        <v>116</v>
      </c>
      <c r="S23" t="s">
        <v>116</v>
      </c>
      <c r="T23" t="s">
        <v>116</v>
      </c>
      <c r="U23" t="s">
        <v>116</v>
      </c>
      <c r="V23" t="s">
        <v>116</v>
      </c>
      <c r="W23" t="s">
        <v>116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8"/>
  </sheetPr>
  <dimension ref="A1:Z77"/>
  <sheetViews>
    <sheetView workbookViewId="0">
      <selection activeCell="E45" sqref="E45"/>
    </sheetView>
  </sheetViews>
  <sheetFormatPr baseColWidth="10" defaultRowHeight="16"/>
  <sheetData>
    <row r="1" spans="1:1">
      <c r="A1" s="2" t="s">
        <v>2</v>
      </c>
    </row>
    <row r="2" spans="1:1">
      <c r="A2" s="2" t="s">
        <v>3</v>
      </c>
    </row>
    <row r="3" spans="1:1">
      <c r="A3" s="2" t="s">
        <v>4</v>
      </c>
    </row>
    <row r="4" spans="1:1">
      <c r="A4" s="2" t="s">
        <v>5</v>
      </c>
    </row>
    <row r="5" spans="1:1">
      <c r="A5" s="2" t="s">
        <v>6</v>
      </c>
    </row>
    <row r="6" spans="1:1">
      <c r="A6" s="2" t="s">
        <v>7</v>
      </c>
    </row>
    <row r="7" spans="1:1">
      <c r="A7" s="2" t="s">
        <v>8</v>
      </c>
    </row>
    <row r="8" spans="1:1">
      <c r="A8" s="2" t="s">
        <v>9</v>
      </c>
    </row>
    <row r="9" spans="1:1">
      <c r="A9" s="2" t="s">
        <v>10</v>
      </c>
    </row>
    <row r="10" spans="1:1" ht="18">
      <c r="A10" s="107" t="s">
        <v>11</v>
      </c>
    </row>
    <row r="11" spans="1:1" ht="18">
      <c r="A11" s="108" t="s">
        <v>12</v>
      </c>
    </row>
    <row r="12" spans="1:1">
      <c r="A12" s="2" t="s">
        <v>13</v>
      </c>
    </row>
    <row r="13" spans="1:1">
      <c r="A13" s="2" t="s">
        <v>14</v>
      </c>
    </row>
    <row r="14" spans="1:1">
      <c r="A14" s="2" t="s">
        <v>16</v>
      </c>
    </row>
    <row r="15" spans="1:1" ht="18">
      <c r="A15" s="108" t="s">
        <v>18</v>
      </c>
    </row>
    <row r="17" spans="1:26" ht="23">
      <c r="A17" s="109" t="s">
        <v>7</v>
      </c>
    </row>
    <row r="19" spans="1:26" ht="18">
      <c r="A19" s="107" t="s">
        <v>20</v>
      </c>
    </row>
    <row r="20" spans="1:26" ht="18">
      <c r="A20" s="107" t="s">
        <v>21</v>
      </c>
    </row>
    <row r="22" spans="1:26" ht="18">
      <c r="A22" s="108" t="s">
        <v>118</v>
      </c>
    </row>
    <row r="23" spans="1:26" ht="18">
      <c r="A23" s="108" t="s">
        <v>23</v>
      </c>
    </row>
    <row r="24" spans="1:26" ht="18">
      <c r="A24" s="108" t="s">
        <v>24</v>
      </c>
    </row>
    <row r="25" spans="1:26" ht="18">
      <c r="A25" s="108" t="s">
        <v>25</v>
      </c>
    </row>
    <row r="26" spans="1:26" ht="18">
      <c r="A26" s="107" t="s">
        <v>101</v>
      </c>
    </row>
    <row r="27" spans="1:26" ht="18">
      <c r="A27" s="108" t="s">
        <v>29</v>
      </c>
    </row>
    <row r="28" spans="1:26">
      <c r="A28" s="110"/>
      <c r="B28" s="110"/>
      <c r="C28" s="110"/>
      <c r="D28" s="110"/>
      <c r="E28" s="110"/>
      <c r="F28" s="110"/>
      <c r="G28" s="110"/>
      <c r="H28" s="110"/>
      <c r="I28" s="110"/>
      <c r="J28" s="110"/>
      <c r="K28" s="110"/>
      <c r="L28" s="110"/>
      <c r="M28" s="110"/>
      <c r="N28" s="110"/>
      <c r="O28" s="110"/>
      <c r="P28" s="110"/>
      <c r="Q28" s="110"/>
      <c r="R28" s="110"/>
      <c r="S28" s="110"/>
      <c r="T28" s="110"/>
      <c r="U28" s="110"/>
      <c r="V28" s="110"/>
      <c r="W28" s="110"/>
      <c r="X28" s="110"/>
    </row>
    <row r="29" spans="1:26">
      <c r="A29" s="111" t="s">
        <v>56</v>
      </c>
      <c r="B29" s="111">
        <v>30</v>
      </c>
      <c r="C29" s="111">
        <v>30.2</v>
      </c>
      <c r="D29" s="111">
        <v>30.4</v>
      </c>
      <c r="E29" s="111">
        <v>29.7</v>
      </c>
      <c r="F29" s="111">
        <v>29.9</v>
      </c>
      <c r="G29" s="111">
        <v>30.1</v>
      </c>
      <c r="H29" s="111">
        <v>30.2</v>
      </c>
      <c r="I29" s="111">
        <v>30.4</v>
      </c>
      <c r="J29" s="111">
        <v>30.5</v>
      </c>
      <c r="K29" s="111">
        <v>30.7</v>
      </c>
      <c r="L29" s="111">
        <v>30.8</v>
      </c>
      <c r="M29" s="111">
        <v>30.9</v>
      </c>
      <c r="N29" s="111">
        <v>31</v>
      </c>
      <c r="O29" s="111">
        <v>31.1</v>
      </c>
      <c r="P29" s="111">
        <v>31.3</v>
      </c>
      <c r="Q29" s="111">
        <v>31.4</v>
      </c>
      <c r="R29" s="111">
        <v>31.4</v>
      </c>
      <c r="S29" s="111">
        <v>31.5</v>
      </c>
      <c r="T29" s="111">
        <v>31.6</v>
      </c>
      <c r="U29" s="111">
        <v>31.7</v>
      </c>
      <c r="V29" s="111">
        <v>31.8</v>
      </c>
      <c r="W29" s="111">
        <v>32</v>
      </c>
      <c r="X29" s="111">
        <v>32.1</v>
      </c>
      <c r="Y29" s="111">
        <v>32.299999999999997</v>
      </c>
      <c r="Z29" s="111">
        <v>31</v>
      </c>
    </row>
    <row r="30" spans="1:26">
      <c r="A30" s="111" t="s">
        <v>57</v>
      </c>
      <c r="B30" s="111">
        <v>23</v>
      </c>
      <c r="C30" s="111">
        <v>23.1</v>
      </c>
      <c r="D30" s="111">
        <v>23.2</v>
      </c>
      <c r="E30" s="111">
        <v>23.5</v>
      </c>
      <c r="F30" s="111">
        <v>23.8</v>
      </c>
      <c r="G30" s="111">
        <v>24.1</v>
      </c>
      <c r="H30" s="111">
        <v>24.4</v>
      </c>
      <c r="I30" s="111">
        <v>25.4</v>
      </c>
      <c r="J30" s="111">
        <v>25.6</v>
      </c>
      <c r="K30" s="111">
        <v>25.8</v>
      </c>
      <c r="L30" s="111">
        <v>26</v>
      </c>
      <c r="M30" s="111">
        <v>26</v>
      </c>
      <c r="N30" s="111">
        <v>26.1</v>
      </c>
      <c r="O30" s="111">
        <v>26.2</v>
      </c>
      <c r="P30" s="111">
        <v>26.3</v>
      </c>
      <c r="Q30" s="111">
        <v>26.5</v>
      </c>
      <c r="R30" s="111">
        <v>26.6</v>
      </c>
      <c r="S30" s="111">
        <v>26.8</v>
      </c>
      <c r="T30" s="111">
        <v>27</v>
      </c>
      <c r="U30" s="111">
        <v>27.1</v>
      </c>
      <c r="V30" s="111">
        <v>27.2</v>
      </c>
      <c r="W30" s="111">
        <v>27.3</v>
      </c>
      <c r="X30" s="111">
        <v>27.4</v>
      </c>
      <c r="Y30" s="111">
        <v>27.5</v>
      </c>
      <c r="Z30" s="111">
        <v>25.7</v>
      </c>
    </row>
    <row r="31" spans="1:26">
      <c r="A31" s="111" t="s">
        <v>60</v>
      </c>
      <c r="B31" s="111">
        <v>19.100000000000001</v>
      </c>
      <c r="C31" s="111">
        <v>19.399999999999999</v>
      </c>
      <c r="D31" s="111">
        <v>20.399999999999999</v>
      </c>
      <c r="E31" s="111">
        <v>21.4</v>
      </c>
      <c r="F31" s="111">
        <v>21.7</v>
      </c>
      <c r="G31" s="111">
        <v>22</v>
      </c>
      <c r="H31" s="111">
        <v>22.3</v>
      </c>
      <c r="I31" s="111">
        <v>22.6</v>
      </c>
      <c r="J31" s="111">
        <v>23.6</v>
      </c>
      <c r="K31" s="111">
        <v>23.1</v>
      </c>
      <c r="L31" s="111">
        <v>23.2</v>
      </c>
      <c r="M31" s="111">
        <v>23.3</v>
      </c>
      <c r="N31" s="111">
        <v>23</v>
      </c>
      <c r="O31" s="111">
        <v>23.3</v>
      </c>
      <c r="P31" s="111">
        <v>23.6</v>
      </c>
      <c r="Q31" s="111">
        <v>23.9</v>
      </c>
      <c r="R31" s="111">
        <v>24.9</v>
      </c>
      <c r="S31" s="111">
        <v>25.2</v>
      </c>
      <c r="T31" s="111">
        <v>25.3</v>
      </c>
      <c r="U31" s="111">
        <v>25.5</v>
      </c>
      <c r="V31" s="111">
        <v>25.7</v>
      </c>
      <c r="W31" s="111">
        <v>25.8</v>
      </c>
      <c r="X31" s="111">
        <v>25.9</v>
      </c>
      <c r="Y31" s="111">
        <v>26.1</v>
      </c>
      <c r="Z31" s="111">
        <v>23.3</v>
      </c>
    </row>
    <row r="32" spans="1:26">
      <c r="A32" s="111" t="s">
        <v>110</v>
      </c>
      <c r="B32" s="111">
        <v>20.8</v>
      </c>
      <c r="C32" s="111">
        <v>21.1</v>
      </c>
      <c r="D32" s="111">
        <v>22.1</v>
      </c>
      <c r="E32" s="111">
        <v>22.4</v>
      </c>
      <c r="F32" s="111">
        <v>22.7</v>
      </c>
      <c r="G32" s="111">
        <v>23</v>
      </c>
      <c r="H32" s="111">
        <v>23.3</v>
      </c>
      <c r="I32" s="111">
        <v>23.4</v>
      </c>
      <c r="J32" s="111">
        <v>22.9</v>
      </c>
      <c r="K32" s="111">
        <v>22.4</v>
      </c>
      <c r="L32" s="111">
        <v>22.5</v>
      </c>
      <c r="M32" s="111">
        <v>22.6</v>
      </c>
      <c r="N32" s="111">
        <v>22.7</v>
      </c>
      <c r="O32" s="111">
        <v>23</v>
      </c>
      <c r="P32" s="111">
        <v>23.3</v>
      </c>
      <c r="Q32" s="111">
        <v>23.4</v>
      </c>
      <c r="R32" s="111">
        <v>23.5</v>
      </c>
      <c r="S32" s="111">
        <v>23</v>
      </c>
      <c r="T32" s="111">
        <v>23.1</v>
      </c>
      <c r="U32" s="111">
        <v>23.2</v>
      </c>
      <c r="V32" s="111">
        <v>23.3</v>
      </c>
      <c r="W32" s="111">
        <v>23.6</v>
      </c>
      <c r="X32" s="111">
        <v>23.7</v>
      </c>
      <c r="Y32" s="111">
        <v>23.2</v>
      </c>
      <c r="Z32" s="111">
        <v>22.8</v>
      </c>
    </row>
    <row r="33" spans="1:26">
      <c r="A33" s="111" t="s">
        <v>58</v>
      </c>
      <c r="B33" s="111">
        <v>19</v>
      </c>
      <c r="C33" s="111">
        <v>19.100000000000001</v>
      </c>
      <c r="D33" s="111">
        <v>19.399999999999999</v>
      </c>
      <c r="E33" s="111">
        <v>19.7</v>
      </c>
      <c r="F33" s="111">
        <v>19.8</v>
      </c>
      <c r="G33" s="111">
        <v>19.899999999999999</v>
      </c>
      <c r="H33" s="111">
        <v>20</v>
      </c>
      <c r="I33" s="111">
        <v>20.3</v>
      </c>
      <c r="J33" s="111">
        <v>21.3</v>
      </c>
      <c r="K33" s="111">
        <v>21.6</v>
      </c>
      <c r="L33" s="111">
        <v>21.7</v>
      </c>
      <c r="M33" s="111">
        <v>22</v>
      </c>
      <c r="N33" s="111">
        <v>22.3</v>
      </c>
      <c r="O33" s="111">
        <v>23.3</v>
      </c>
      <c r="P33" s="111">
        <v>23.6</v>
      </c>
      <c r="Q33" s="111">
        <v>23.9</v>
      </c>
      <c r="R33" s="111">
        <v>24.2</v>
      </c>
      <c r="S33" s="111">
        <v>25.2</v>
      </c>
      <c r="T33" s="111">
        <v>25.3</v>
      </c>
      <c r="U33" s="111">
        <v>25.4</v>
      </c>
      <c r="V33" s="111">
        <v>25.5</v>
      </c>
      <c r="W33" s="111">
        <v>25.5</v>
      </c>
      <c r="X33" s="111">
        <v>25.6</v>
      </c>
      <c r="Y33" s="111">
        <v>25.7</v>
      </c>
      <c r="Z33" s="111">
        <v>22.5</v>
      </c>
    </row>
    <row r="34" spans="1:26">
      <c r="A34" s="111" t="s">
        <v>61</v>
      </c>
      <c r="B34" s="111">
        <v>19.3</v>
      </c>
      <c r="C34" s="111">
        <v>19.399999999999999</v>
      </c>
      <c r="D34" s="111">
        <v>19.5</v>
      </c>
      <c r="E34" s="111">
        <v>19</v>
      </c>
      <c r="F34" s="111">
        <v>18.7</v>
      </c>
      <c r="G34" s="111">
        <v>19</v>
      </c>
      <c r="H34" s="111">
        <v>19.100000000000001</v>
      </c>
      <c r="I34" s="111">
        <v>19.399999999999999</v>
      </c>
      <c r="J34" s="111">
        <v>20.399999999999999</v>
      </c>
      <c r="K34" s="111">
        <v>21.4</v>
      </c>
      <c r="L34" s="111">
        <v>21.7</v>
      </c>
      <c r="M34" s="111">
        <v>21.8</v>
      </c>
      <c r="N34" s="111">
        <v>22.8</v>
      </c>
      <c r="O34" s="111">
        <v>23.1</v>
      </c>
      <c r="P34" s="111">
        <v>24.1</v>
      </c>
      <c r="Q34" s="111">
        <v>24.4</v>
      </c>
      <c r="R34" s="111">
        <v>24.5</v>
      </c>
      <c r="S34" s="111">
        <v>24.8</v>
      </c>
      <c r="T34" s="111">
        <v>25.1</v>
      </c>
      <c r="U34" s="111">
        <v>24.4</v>
      </c>
      <c r="V34" s="111">
        <v>24.7</v>
      </c>
      <c r="W34" s="111">
        <v>24.8</v>
      </c>
      <c r="X34" s="111">
        <v>25.8</v>
      </c>
      <c r="Y34" s="111">
        <v>25.8</v>
      </c>
      <c r="Z34" s="111">
        <v>22.2</v>
      </c>
    </row>
    <row r="35" spans="1:26">
      <c r="A35" s="111" t="s">
        <v>69</v>
      </c>
      <c r="B35" s="111">
        <v>18.5</v>
      </c>
      <c r="C35" s="111"/>
      <c r="D35" s="111">
        <v>18.8</v>
      </c>
      <c r="E35" s="111">
        <v>19.8</v>
      </c>
      <c r="F35" s="111">
        <v>20.100000000000001</v>
      </c>
      <c r="G35" s="111">
        <v>20.399999999999999</v>
      </c>
      <c r="H35" s="111">
        <v>20.7</v>
      </c>
      <c r="I35" s="111">
        <v>21</v>
      </c>
      <c r="J35" s="111">
        <v>22</v>
      </c>
      <c r="K35" s="111">
        <v>21.5</v>
      </c>
      <c r="L35" s="111">
        <v>21.6</v>
      </c>
      <c r="M35" s="111">
        <v>21.9</v>
      </c>
      <c r="N35" s="111">
        <v>22.2</v>
      </c>
      <c r="O35" s="111">
        <v>22.5</v>
      </c>
      <c r="P35" s="111">
        <v>22.6</v>
      </c>
      <c r="Q35" s="111">
        <v>22.9</v>
      </c>
      <c r="R35" s="111">
        <v>23.2</v>
      </c>
      <c r="S35" s="111">
        <v>22.7</v>
      </c>
      <c r="T35" s="111">
        <v>23</v>
      </c>
      <c r="U35" s="111">
        <v>23.3</v>
      </c>
      <c r="V35" s="111">
        <v>24.3</v>
      </c>
      <c r="W35" s="111">
        <v>23.8</v>
      </c>
      <c r="X35" s="111">
        <v>24.1</v>
      </c>
      <c r="Y35" s="111">
        <v>24.4</v>
      </c>
      <c r="Z35" s="111">
        <v>22</v>
      </c>
    </row>
    <row r="36" spans="1:26">
      <c r="A36" s="111" t="s">
        <v>59</v>
      </c>
      <c r="B36" s="111">
        <v>18.8</v>
      </c>
      <c r="C36" s="111">
        <v>19.100000000000001</v>
      </c>
      <c r="D36" s="111">
        <v>19.2</v>
      </c>
      <c r="E36" s="111">
        <v>18.7</v>
      </c>
      <c r="F36" s="111">
        <v>18.8</v>
      </c>
      <c r="G36" s="111">
        <v>19.100000000000001</v>
      </c>
      <c r="H36" s="111">
        <v>19.2</v>
      </c>
      <c r="I36" s="111">
        <v>19.5</v>
      </c>
      <c r="J36" s="111">
        <v>20.5</v>
      </c>
      <c r="K36" s="111">
        <v>20.8</v>
      </c>
      <c r="L36" s="111">
        <v>21.1</v>
      </c>
      <c r="M36" s="111">
        <v>21.4</v>
      </c>
      <c r="N36" s="111">
        <v>20.9</v>
      </c>
      <c r="O36" s="111">
        <v>21.2</v>
      </c>
      <c r="P36" s="111">
        <v>20.7</v>
      </c>
      <c r="Q36" s="111">
        <v>20.8</v>
      </c>
      <c r="R36" s="111">
        <v>21.1</v>
      </c>
      <c r="S36" s="111">
        <v>21.4</v>
      </c>
      <c r="T36" s="111">
        <v>21.7</v>
      </c>
      <c r="U36" s="111">
        <v>22</v>
      </c>
      <c r="V36" s="111">
        <v>22.3</v>
      </c>
      <c r="W36" s="111">
        <v>22.6</v>
      </c>
      <c r="X36" s="111">
        <v>22.9</v>
      </c>
      <c r="Y36" s="111">
        <v>23.2</v>
      </c>
      <c r="Z36" s="111">
        <v>20.7</v>
      </c>
    </row>
    <row r="37" spans="1:26">
      <c r="A37" s="111" t="s">
        <v>73</v>
      </c>
      <c r="B37" s="111">
        <v>15.8</v>
      </c>
      <c r="C37" s="111">
        <v>15.9</v>
      </c>
      <c r="D37" s="111">
        <v>16.2</v>
      </c>
      <c r="E37" s="111">
        <v>16.3</v>
      </c>
      <c r="F37" s="111">
        <v>16.399999999999999</v>
      </c>
      <c r="G37" s="111">
        <v>16.5</v>
      </c>
      <c r="H37" s="111">
        <v>16.600000000000001</v>
      </c>
      <c r="I37" s="111">
        <v>16.3</v>
      </c>
      <c r="J37" s="111">
        <v>16.399999999999999</v>
      </c>
      <c r="K37" s="111">
        <v>16.7</v>
      </c>
      <c r="L37" s="111">
        <v>16.399999999999999</v>
      </c>
      <c r="M37" s="111">
        <v>16.5</v>
      </c>
      <c r="N37" s="111">
        <v>16.600000000000001</v>
      </c>
      <c r="O37" s="111">
        <v>16.3</v>
      </c>
      <c r="P37" s="111">
        <v>16.399999999999999</v>
      </c>
      <c r="Q37" s="111">
        <v>16.5</v>
      </c>
      <c r="R37" s="111">
        <v>16.2</v>
      </c>
      <c r="S37" s="111">
        <v>16.3</v>
      </c>
      <c r="T37" s="111">
        <v>16.399999999999999</v>
      </c>
      <c r="U37" s="111">
        <v>15.9</v>
      </c>
      <c r="V37" s="111">
        <v>15.4</v>
      </c>
      <c r="W37" s="111">
        <v>15.1</v>
      </c>
      <c r="X37" s="111">
        <v>15.2</v>
      </c>
      <c r="Y37" s="111">
        <v>15.3</v>
      </c>
      <c r="Z37" s="111">
        <v>16.100000000000001</v>
      </c>
    </row>
    <row r="38" spans="1:26">
      <c r="A38" s="111" t="s">
        <v>63</v>
      </c>
      <c r="B38" s="111"/>
      <c r="C38" s="111"/>
      <c r="D38" s="111"/>
      <c r="E38" s="111"/>
      <c r="F38" s="111"/>
      <c r="G38" s="111"/>
      <c r="H38" s="111"/>
      <c r="I38" s="111"/>
      <c r="J38" s="111"/>
      <c r="K38" s="111"/>
      <c r="L38" s="111"/>
      <c r="M38" s="111"/>
      <c r="N38" s="111"/>
      <c r="O38" s="111"/>
      <c r="P38" s="111"/>
      <c r="Q38" s="111"/>
      <c r="R38" s="111">
        <v>15</v>
      </c>
      <c r="S38" s="111"/>
      <c r="T38" s="111"/>
      <c r="U38" s="111"/>
      <c r="V38" s="111">
        <v>13.3</v>
      </c>
      <c r="W38" s="111"/>
      <c r="X38" s="111"/>
      <c r="Y38" s="111"/>
      <c r="Z38" s="111">
        <v>14.2</v>
      </c>
    </row>
    <row r="39" spans="1:26">
      <c r="A39" s="111" t="s">
        <v>63</v>
      </c>
      <c r="B39" s="111"/>
      <c r="C39" s="111">
        <v>14</v>
      </c>
      <c r="D39" s="111"/>
      <c r="E39" s="111"/>
      <c r="F39" s="111"/>
      <c r="G39" s="111"/>
      <c r="H39" s="111"/>
      <c r="I39" s="111"/>
      <c r="J39" s="111"/>
      <c r="K39" s="111"/>
      <c r="L39" s="111"/>
      <c r="M39" s="111"/>
      <c r="N39" s="111"/>
      <c r="O39" s="111"/>
      <c r="P39" s="111"/>
      <c r="Q39" s="111"/>
      <c r="R39" s="111"/>
      <c r="S39" s="111"/>
      <c r="T39" s="111"/>
      <c r="U39" s="111"/>
      <c r="V39" s="111"/>
      <c r="W39" s="111"/>
      <c r="X39" s="111"/>
      <c r="Y39" s="111"/>
      <c r="Z39" s="111">
        <v>14</v>
      </c>
    </row>
    <row r="40" spans="1:26">
      <c r="A40" s="111" t="s">
        <v>68</v>
      </c>
      <c r="B40" s="111">
        <v>10.7</v>
      </c>
      <c r="C40" s="111">
        <v>11.2</v>
      </c>
      <c r="D40" s="111">
        <v>11</v>
      </c>
      <c r="E40" s="111">
        <v>12</v>
      </c>
      <c r="F40" s="111">
        <v>12.5</v>
      </c>
      <c r="G40" s="111">
        <v>13</v>
      </c>
      <c r="H40" s="111">
        <v>12.8</v>
      </c>
      <c r="I40" s="111">
        <v>13.3</v>
      </c>
      <c r="J40" s="111">
        <v>13.2</v>
      </c>
      <c r="K40" s="111">
        <v>14.2</v>
      </c>
      <c r="L40" s="111">
        <v>14.1</v>
      </c>
      <c r="M40" s="111">
        <v>14.6</v>
      </c>
      <c r="N40" s="111">
        <v>15.1</v>
      </c>
      <c r="O40" s="111">
        <v>15.2</v>
      </c>
      <c r="P40" s="111">
        <v>15.3</v>
      </c>
      <c r="Q40" s="111">
        <v>15</v>
      </c>
      <c r="R40" s="111">
        <v>14.7</v>
      </c>
      <c r="S40" s="111">
        <v>14.5</v>
      </c>
      <c r="T40" s="111">
        <v>14.4</v>
      </c>
      <c r="U40" s="111">
        <v>14.3</v>
      </c>
      <c r="V40" s="111">
        <v>14.8</v>
      </c>
      <c r="W40" s="111">
        <v>14.6</v>
      </c>
      <c r="X40" s="111">
        <v>14.5</v>
      </c>
      <c r="Y40" s="111">
        <v>14.3</v>
      </c>
      <c r="Z40" s="111">
        <v>13.7</v>
      </c>
    </row>
    <row r="41" spans="1:26">
      <c r="A41" s="111" t="s">
        <v>76</v>
      </c>
      <c r="B41" s="111"/>
      <c r="C41" s="111"/>
      <c r="D41" s="111"/>
      <c r="E41" s="111"/>
      <c r="F41" s="111"/>
      <c r="G41" s="111"/>
      <c r="H41" s="111"/>
      <c r="I41" s="111"/>
      <c r="J41" s="111"/>
      <c r="K41" s="111"/>
      <c r="L41" s="111"/>
      <c r="M41" s="111"/>
      <c r="N41" s="111"/>
      <c r="O41" s="111"/>
      <c r="P41" s="111"/>
      <c r="Q41" s="111"/>
      <c r="R41" s="111"/>
      <c r="S41" s="111"/>
      <c r="T41" s="111"/>
      <c r="U41" s="111"/>
      <c r="V41" s="111"/>
      <c r="W41" s="111"/>
      <c r="X41" s="111"/>
      <c r="Y41" s="111">
        <v>10.9</v>
      </c>
      <c r="Z41" s="111">
        <v>10.9</v>
      </c>
    </row>
    <row r="42" spans="1:26">
      <c r="A42" s="111" t="s">
        <v>71</v>
      </c>
      <c r="B42" s="111"/>
      <c r="C42" s="111"/>
      <c r="D42" s="111"/>
      <c r="E42" s="111"/>
      <c r="F42" s="111"/>
      <c r="G42" s="111"/>
      <c r="H42" s="111"/>
      <c r="I42" s="111"/>
      <c r="J42" s="111"/>
      <c r="K42" s="111"/>
      <c r="L42" s="111"/>
      <c r="M42" s="111"/>
      <c r="N42" s="111"/>
      <c r="O42" s="111"/>
      <c r="P42" s="111"/>
      <c r="Q42" s="111"/>
      <c r="R42" s="111"/>
      <c r="S42" s="111"/>
      <c r="T42" s="111">
        <v>10.199999999999999</v>
      </c>
      <c r="U42" s="111">
        <v>10.7</v>
      </c>
      <c r="V42" s="111">
        <v>10.6</v>
      </c>
      <c r="W42" s="111">
        <v>11.1</v>
      </c>
      <c r="X42" s="111">
        <v>11</v>
      </c>
      <c r="Y42" s="111">
        <v>10.9</v>
      </c>
      <c r="Z42" s="111">
        <v>10.8</v>
      </c>
    </row>
    <row r="43" spans="1:26">
      <c r="A43" s="111" t="s">
        <v>66</v>
      </c>
      <c r="B43" s="111">
        <v>7.8</v>
      </c>
      <c r="C43" s="111">
        <v>8.3000000000000007</v>
      </c>
      <c r="D43" s="111">
        <v>8.8000000000000007</v>
      </c>
      <c r="E43" s="111">
        <v>8.6</v>
      </c>
      <c r="F43" s="111">
        <v>8.5</v>
      </c>
      <c r="G43" s="111">
        <v>9</v>
      </c>
      <c r="H43" s="111">
        <v>9.5</v>
      </c>
      <c r="I43" s="111">
        <v>9.4</v>
      </c>
      <c r="J43" s="111">
        <v>9.1999999999999993</v>
      </c>
      <c r="K43" s="111">
        <v>10.199999999999999</v>
      </c>
      <c r="L43" s="111">
        <v>10.1</v>
      </c>
      <c r="M43" s="111">
        <v>10</v>
      </c>
      <c r="N43" s="111">
        <v>10.5</v>
      </c>
      <c r="O43" s="111">
        <v>11</v>
      </c>
      <c r="P43" s="111">
        <v>11.5</v>
      </c>
      <c r="Q43" s="111">
        <v>11.4</v>
      </c>
      <c r="R43" s="111">
        <v>11.3</v>
      </c>
      <c r="S43" s="111">
        <v>11.8</v>
      </c>
      <c r="T43" s="111">
        <v>12.3</v>
      </c>
      <c r="U43" s="111">
        <v>12.8</v>
      </c>
      <c r="V43" s="111">
        <v>13.3</v>
      </c>
      <c r="W43" s="111">
        <v>14.8</v>
      </c>
      <c r="X43" s="111">
        <v>14.6</v>
      </c>
      <c r="Y43" s="111"/>
      <c r="Z43" s="111">
        <v>10.6</v>
      </c>
    </row>
    <row r="44" spans="1:26">
      <c r="A44" s="111" t="s">
        <v>105</v>
      </c>
      <c r="B44" s="111">
        <v>6.2</v>
      </c>
      <c r="C44" s="111">
        <v>6.7</v>
      </c>
      <c r="D44" s="111">
        <v>7.2</v>
      </c>
      <c r="E44" s="111">
        <v>7.7</v>
      </c>
      <c r="F44" s="111">
        <v>8.1999999999999993</v>
      </c>
      <c r="G44" s="111">
        <v>8.6999999999999993</v>
      </c>
      <c r="H44" s="111">
        <v>8.6</v>
      </c>
      <c r="I44" s="111">
        <v>9.1</v>
      </c>
      <c r="J44" s="111">
        <v>8.9</v>
      </c>
      <c r="K44" s="111">
        <v>9.9</v>
      </c>
      <c r="L44" s="111">
        <v>9.8000000000000007</v>
      </c>
      <c r="M44" s="111">
        <v>10.3</v>
      </c>
      <c r="N44" s="111">
        <v>10.8</v>
      </c>
      <c r="O44" s="111">
        <v>11.3</v>
      </c>
      <c r="P44" s="111">
        <v>11.8</v>
      </c>
      <c r="Q44" s="111">
        <v>12.3</v>
      </c>
      <c r="R44" s="111"/>
      <c r="S44" s="111">
        <v>12.6</v>
      </c>
      <c r="T44" s="111">
        <v>12.4</v>
      </c>
      <c r="U44" s="111">
        <v>12.9</v>
      </c>
      <c r="V44" s="111"/>
      <c r="W44" s="111">
        <v>13.4</v>
      </c>
      <c r="X44" s="111">
        <v>13.3</v>
      </c>
      <c r="Y44" s="111">
        <v>14.3</v>
      </c>
      <c r="Z44" s="111">
        <v>10.3</v>
      </c>
    </row>
    <row r="45" spans="1:26">
      <c r="A45" s="111" t="s">
        <v>107</v>
      </c>
      <c r="B45" s="111">
        <v>9</v>
      </c>
      <c r="C45" s="111">
        <v>8.9</v>
      </c>
      <c r="D45" s="111">
        <v>8.6999999999999993</v>
      </c>
      <c r="E45" s="111">
        <v>9.1999999999999993</v>
      </c>
      <c r="F45" s="111">
        <v>9</v>
      </c>
      <c r="G45" s="111">
        <v>8.8000000000000007</v>
      </c>
      <c r="H45" s="111">
        <v>9.3000000000000007</v>
      </c>
      <c r="I45" s="111">
        <v>9.1</v>
      </c>
      <c r="J45" s="111">
        <v>8.9</v>
      </c>
      <c r="K45" s="111">
        <v>9.4</v>
      </c>
      <c r="L45" s="111">
        <v>9.9</v>
      </c>
      <c r="M45" s="111">
        <v>10.4</v>
      </c>
      <c r="N45" s="111">
        <v>10.9</v>
      </c>
      <c r="O45" s="111">
        <v>10.8</v>
      </c>
      <c r="P45" s="111">
        <v>11.3</v>
      </c>
      <c r="Q45" s="111">
        <v>11.2</v>
      </c>
      <c r="R45" s="111">
        <v>11.1</v>
      </c>
      <c r="S45" s="111">
        <v>11</v>
      </c>
      <c r="T45" s="111"/>
      <c r="U45" s="111"/>
      <c r="V45" s="111"/>
      <c r="W45" s="111"/>
      <c r="X45" s="111"/>
      <c r="Y45" s="111"/>
      <c r="Z45" s="111">
        <v>9.8000000000000007</v>
      </c>
    </row>
    <row r="46" spans="1:26">
      <c r="A46" s="111" t="s">
        <v>65</v>
      </c>
      <c r="B46" s="111">
        <v>8</v>
      </c>
      <c r="C46" s="111">
        <v>7.8</v>
      </c>
      <c r="D46" s="111">
        <v>7.6</v>
      </c>
      <c r="E46" s="111">
        <v>8.1</v>
      </c>
      <c r="F46" s="111">
        <v>8.6</v>
      </c>
      <c r="G46" s="111">
        <v>8.4</v>
      </c>
      <c r="H46" s="111">
        <v>9.4</v>
      </c>
      <c r="I46" s="111">
        <v>9.3000000000000007</v>
      </c>
      <c r="J46" s="111">
        <v>9.8000000000000007</v>
      </c>
      <c r="K46" s="111">
        <v>9.6</v>
      </c>
      <c r="L46" s="111">
        <v>9.5</v>
      </c>
      <c r="M46" s="111">
        <v>10</v>
      </c>
      <c r="N46" s="111">
        <v>10.5</v>
      </c>
      <c r="O46" s="111">
        <v>10.4</v>
      </c>
      <c r="P46" s="111">
        <v>10.9</v>
      </c>
      <c r="Q46" s="111">
        <v>10.7</v>
      </c>
      <c r="R46" s="111">
        <v>10.5</v>
      </c>
      <c r="S46" s="111">
        <v>10.3</v>
      </c>
      <c r="T46" s="111">
        <v>10.199999999999999</v>
      </c>
      <c r="U46" s="111">
        <v>10.1</v>
      </c>
      <c r="V46" s="111">
        <v>9.9</v>
      </c>
      <c r="W46" s="111">
        <v>10.9</v>
      </c>
      <c r="X46" s="111">
        <v>11.4</v>
      </c>
      <c r="Y46" s="111">
        <v>11.9</v>
      </c>
      <c r="Z46" s="111">
        <v>9.6999999999999993</v>
      </c>
    </row>
    <row r="47" spans="1:26">
      <c r="A47" s="111" t="s">
        <v>72</v>
      </c>
      <c r="B47" s="111">
        <v>7.8</v>
      </c>
      <c r="C47" s="111">
        <v>7.7</v>
      </c>
      <c r="D47" s="111">
        <v>7.5</v>
      </c>
      <c r="E47" s="111">
        <v>7.4</v>
      </c>
      <c r="F47" s="111">
        <v>7.3</v>
      </c>
      <c r="G47" s="111">
        <v>7.8</v>
      </c>
      <c r="H47" s="111">
        <v>8.3000000000000007</v>
      </c>
      <c r="I47" s="111">
        <v>8.1999999999999993</v>
      </c>
      <c r="J47" s="111">
        <v>8.1</v>
      </c>
      <c r="K47" s="111">
        <v>9.1</v>
      </c>
      <c r="L47" s="111">
        <v>9.6</v>
      </c>
      <c r="M47" s="111">
        <v>10.1</v>
      </c>
      <c r="N47" s="111">
        <v>9.9</v>
      </c>
      <c r="O47" s="111">
        <v>9.6999999999999993</v>
      </c>
      <c r="P47" s="111">
        <v>9.6</v>
      </c>
      <c r="Q47" s="111">
        <v>10.1</v>
      </c>
      <c r="R47" s="111">
        <v>10</v>
      </c>
      <c r="S47" s="111">
        <v>9.8000000000000007</v>
      </c>
      <c r="T47" s="111">
        <v>9.6999999999999993</v>
      </c>
      <c r="U47" s="111">
        <v>9.5</v>
      </c>
      <c r="V47" s="111">
        <v>10</v>
      </c>
      <c r="W47" s="111">
        <v>11</v>
      </c>
      <c r="X47" s="111">
        <v>10.8</v>
      </c>
      <c r="Y47" s="111">
        <v>11.8</v>
      </c>
      <c r="Z47" s="111">
        <v>9.1999999999999993</v>
      </c>
    </row>
    <row r="48" spans="1:26">
      <c r="A48" s="111" t="s">
        <v>67</v>
      </c>
      <c r="B48" s="111">
        <v>6.4</v>
      </c>
      <c r="C48" s="111">
        <v>6.2</v>
      </c>
      <c r="D48" s="111">
        <v>6.7</v>
      </c>
      <c r="E48" s="111">
        <v>7.2</v>
      </c>
      <c r="F48" s="111">
        <v>7.7</v>
      </c>
      <c r="G48" s="111">
        <v>7.6</v>
      </c>
      <c r="H48" s="111">
        <v>8.1</v>
      </c>
      <c r="I48" s="111">
        <v>8</v>
      </c>
      <c r="J48" s="111">
        <v>7.8</v>
      </c>
      <c r="K48" s="111">
        <v>8.8000000000000007</v>
      </c>
      <c r="L48" s="111">
        <v>8.6999999999999993</v>
      </c>
      <c r="M48" s="111">
        <v>9.1999999999999993</v>
      </c>
      <c r="N48" s="111">
        <v>9.6999999999999993</v>
      </c>
      <c r="O48" s="111">
        <v>9.5</v>
      </c>
      <c r="P48" s="111">
        <v>9.4</v>
      </c>
      <c r="Q48" s="111">
        <v>9.9</v>
      </c>
      <c r="R48" s="111">
        <v>9.6999999999999993</v>
      </c>
      <c r="S48" s="111">
        <v>10.199999999999999</v>
      </c>
      <c r="T48" s="111">
        <v>10.7</v>
      </c>
      <c r="U48" s="111">
        <v>11.2</v>
      </c>
      <c r="V48" s="111">
        <v>11.7</v>
      </c>
      <c r="W48" s="111">
        <v>11.5</v>
      </c>
      <c r="X48" s="111">
        <v>12</v>
      </c>
      <c r="Y48" s="111">
        <v>11.8</v>
      </c>
      <c r="Z48" s="111">
        <v>9.1999999999999993</v>
      </c>
    </row>
    <row r="49" spans="1:26">
      <c r="A49" s="111" t="s">
        <v>64</v>
      </c>
      <c r="B49" s="111">
        <v>7</v>
      </c>
      <c r="C49" s="111">
        <v>6.8</v>
      </c>
      <c r="D49" s="111">
        <v>7.3</v>
      </c>
      <c r="E49" s="111">
        <v>7.2</v>
      </c>
      <c r="F49" s="111">
        <v>7</v>
      </c>
      <c r="G49" s="111">
        <v>7.5</v>
      </c>
      <c r="H49" s="111">
        <v>8</v>
      </c>
      <c r="I49" s="111">
        <v>7.8</v>
      </c>
      <c r="J49" s="111">
        <v>8.3000000000000007</v>
      </c>
      <c r="K49" s="111">
        <v>8.1</v>
      </c>
      <c r="L49" s="111">
        <v>8</v>
      </c>
      <c r="M49" s="111">
        <v>8.5</v>
      </c>
      <c r="N49" s="111">
        <v>9</v>
      </c>
      <c r="O49" s="111">
        <v>8.9</v>
      </c>
      <c r="P49" s="111">
        <v>8.8000000000000007</v>
      </c>
      <c r="Q49" s="111">
        <v>8.6</v>
      </c>
      <c r="R49" s="111">
        <v>8.5</v>
      </c>
      <c r="S49" s="111">
        <v>9</v>
      </c>
      <c r="T49" s="111">
        <v>8.8000000000000007</v>
      </c>
      <c r="U49" s="111">
        <v>9.3000000000000007</v>
      </c>
      <c r="V49" s="111">
        <v>9.1</v>
      </c>
      <c r="W49" s="111">
        <v>8.9</v>
      </c>
      <c r="X49" s="111">
        <v>8.6999999999999993</v>
      </c>
      <c r="Y49" s="111">
        <v>8.6</v>
      </c>
      <c r="Z49" s="111">
        <v>8.1999999999999993</v>
      </c>
    </row>
    <row r="50" spans="1:26">
      <c r="A50" s="111" t="s">
        <v>106</v>
      </c>
      <c r="B50" s="111">
        <v>6.6</v>
      </c>
      <c r="C50" s="111">
        <v>7.1</v>
      </c>
      <c r="D50" s="111">
        <v>6.9</v>
      </c>
      <c r="E50" s="111">
        <v>6.8</v>
      </c>
      <c r="F50" s="111">
        <v>6.6</v>
      </c>
      <c r="G50" s="111">
        <v>7.1</v>
      </c>
      <c r="H50" s="111">
        <v>7.6</v>
      </c>
      <c r="I50" s="111">
        <v>7.5</v>
      </c>
      <c r="J50" s="111">
        <v>7.4</v>
      </c>
      <c r="K50" s="111">
        <v>7.9</v>
      </c>
      <c r="L50" s="111">
        <v>7.8</v>
      </c>
      <c r="M50" s="111">
        <v>7.7</v>
      </c>
      <c r="N50" s="111">
        <v>7.5</v>
      </c>
      <c r="O50" s="111">
        <v>7.3</v>
      </c>
      <c r="P50" s="111">
        <v>7.1</v>
      </c>
      <c r="Q50" s="111">
        <v>6.9</v>
      </c>
      <c r="R50" s="111">
        <v>6.8</v>
      </c>
      <c r="S50" s="111">
        <v>7.3</v>
      </c>
      <c r="T50" s="111">
        <v>7.8</v>
      </c>
      <c r="U50" s="111">
        <v>7.7</v>
      </c>
      <c r="V50" s="111">
        <v>8.1999999999999993</v>
      </c>
      <c r="W50" s="111">
        <v>8.6999999999999993</v>
      </c>
      <c r="X50" s="111">
        <v>8.6</v>
      </c>
      <c r="Y50" s="111">
        <v>9.6</v>
      </c>
      <c r="Z50" s="111">
        <v>7.5</v>
      </c>
    </row>
    <row r="51" spans="1:26">
      <c r="A51" s="111" t="s">
        <v>108</v>
      </c>
      <c r="B51" s="111">
        <v>6.4</v>
      </c>
      <c r="C51" s="111">
        <v>6.2</v>
      </c>
      <c r="D51" s="111">
        <v>6</v>
      </c>
      <c r="E51" s="111">
        <v>5.9</v>
      </c>
      <c r="F51" s="111">
        <v>6.4</v>
      </c>
      <c r="G51" s="111">
        <v>6.2</v>
      </c>
      <c r="H51" s="111">
        <v>6.7</v>
      </c>
      <c r="I51" s="111">
        <v>6.5</v>
      </c>
      <c r="J51" s="111">
        <v>7.5</v>
      </c>
      <c r="K51" s="111">
        <v>8</v>
      </c>
      <c r="L51" s="111">
        <v>7.9</v>
      </c>
      <c r="M51" s="111">
        <v>7.8</v>
      </c>
      <c r="N51" s="111">
        <v>7.7</v>
      </c>
      <c r="O51" s="111">
        <v>7.6</v>
      </c>
      <c r="P51" s="111">
        <v>7.5</v>
      </c>
      <c r="Q51" s="111">
        <v>7.4</v>
      </c>
      <c r="R51" s="111">
        <v>7.3</v>
      </c>
      <c r="S51" s="111">
        <v>7.2</v>
      </c>
      <c r="T51" s="111">
        <v>7.1</v>
      </c>
      <c r="U51" s="111">
        <v>7</v>
      </c>
      <c r="V51" s="111">
        <v>6.9</v>
      </c>
      <c r="W51" s="111">
        <v>6.7</v>
      </c>
      <c r="X51" s="111">
        <v>6.6</v>
      </c>
      <c r="Y51" s="111">
        <v>7.1</v>
      </c>
      <c r="Z51" s="111">
        <v>7</v>
      </c>
    </row>
    <row r="52" spans="1:26">
      <c r="A52" s="111" t="s">
        <v>75</v>
      </c>
      <c r="B52" s="111"/>
      <c r="C52" s="111"/>
      <c r="D52" s="111"/>
      <c r="E52" s="111"/>
      <c r="F52" s="111"/>
      <c r="G52" s="111"/>
      <c r="H52" s="111"/>
      <c r="I52" s="111"/>
      <c r="J52" s="111"/>
      <c r="K52" s="111"/>
      <c r="L52" s="111"/>
      <c r="M52" s="111"/>
      <c r="N52" s="111"/>
      <c r="O52" s="111"/>
      <c r="P52" s="111"/>
      <c r="Q52" s="111">
        <v>4.8</v>
      </c>
      <c r="R52" s="111">
        <v>5.3</v>
      </c>
      <c r="S52" s="111">
        <v>5.8</v>
      </c>
      <c r="T52" s="111">
        <v>6.3</v>
      </c>
      <c r="U52" s="111">
        <v>6.8</v>
      </c>
      <c r="V52" s="111">
        <v>7.3</v>
      </c>
      <c r="W52" s="111">
        <v>7.1</v>
      </c>
      <c r="X52" s="111">
        <v>7.6</v>
      </c>
      <c r="Y52" s="111">
        <v>7.4</v>
      </c>
      <c r="Z52" s="111">
        <v>6.5</v>
      </c>
    </row>
    <row r="53" spans="1:26">
      <c r="A53" s="111" t="s">
        <v>109</v>
      </c>
      <c r="B53" s="111">
        <v>5.5</v>
      </c>
      <c r="C53" s="111">
        <v>5.4</v>
      </c>
      <c r="D53" s="111"/>
      <c r="E53" s="111">
        <v>5.9</v>
      </c>
      <c r="F53" s="111">
        <v>6.4</v>
      </c>
      <c r="G53" s="111">
        <v>6.3</v>
      </c>
      <c r="H53" s="111">
        <v>6.1</v>
      </c>
      <c r="I53" s="111">
        <v>5.9</v>
      </c>
      <c r="J53" s="111">
        <v>5.8</v>
      </c>
      <c r="K53" s="111">
        <v>5.6</v>
      </c>
      <c r="L53" s="111">
        <v>5.5</v>
      </c>
      <c r="M53" s="111">
        <v>5.3</v>
      </c>
      <c r="N53" s="111">
        <v>5.2</v>
      </c>
      <c r="O53" s="111">
        <v>5.0999999999999996</v>
      </c>
      <c r="P53" s="111">
        <v>5</v>
      </c>
      <c r="Q53" s="111"/>
      <c r="R53" s="111"/>
      <c r="S53" s="111"/>
      <c r="T53" s="111"/>
      <c r="U53" s="111"/>
      <c r="V53" s="111"/>
      <c r="W53" s="111"/>
      <c r="X53" s="111"/>
      <c r="Y53" s="111"/>
      <c r="Z53" s="111">
        <v>5.6</v>
      </c>
    </row>
    <row r="54" spans="1:26">
      <c r="A54" s="112" t="s">
        <v>55</v>
      </c>
      <c r="B54" s="111">
        <v>13.3</v>
      </c>
      <c r="C54" s="111">
        <v>13.2</v>
      </c>
      <c r="D54" s="111">
        <v>14</v>
      </c>
      <c r="E54" s="111">
        <v>13.8</v>
      </c>
      <c r="F54" s="111">
        <v>14</v>
      </c>
      <c r="G54" s="111">
        <v>14.2</v>
      </c>
      <c r="H54" s="111">
        <v>14.5</v>
      </c>
      <c r="I54" s="111">
        <v>14.6</v>
      </c>
      <c r="J54" s="111">
        <v>14.9</v>
      </c>
      <c r="K54" s="111">
        <v>15.2</v>
      </c>
      <c r="L54" s="111">
        <v>15.3</v>
      </c>
      <c r="M54" s="111">
        <v>15.5</v>
      </c>
      <c r="N54" s="111">
        <v>15.7</v>
      </c>
      <c r="O54" s="111">
        <v>15.8</v>
      </c>
      <c r="P54" s="111">
        <v>16</v>
      </c>
      <c r="Q54" s="111">
        <v>16.100000000000001</v>
      </c>
      <c r="R54" s="111">
        <v>16.3</v>
      </c>
      <c r="S54" s="111">
        <v>16.3</v>
      </c>
      <c r="T54" s="111">
        <v>16.399999999999999</v>
      </c>
      <c r="U54" s="111">
        <v>16.5</v>
      </c>
      <c r="V54" s="111">
        <v>16.8</v>
      </c>
      <c r="W54" s="111">
        <v>17</v>
      </c>
      <c r="X54" s="111">
        <v>17.100000000000001</v>
      </c>
      <c r="Y54" s="111">
        <v>17.100000000000001</v>
      </c>
      <c r="Z54" s="111"/>
    </row>
    <row r="55" spans="1:26" ht="18">
      <c r="A55" s="107" t="s">
        <v>102</v>
      </c>
    </row>
    <row r="56" spans="1:26" ht="18">
      <c r="A56" s="108" t="s">
        <v>29</v>
      </c>
    </row>
    <row r="57" spans="1:26">
      <c r="A57" s="110"/>
      <c r="B57" s="110"/>
      <c r="C57" s="110"/>
      <c r="D57" s="110"/>
      <c r="E57" s="110"/>
      <c r="F57" s="110"/>
      <c r="G57" s="110"/>
      <c r="H57" s="110"/>
      <c r="I57" s="110"/>
      <c r="J57" s="110"/>
      <c r="K57" s="110"/>
      <c r="L57" s="110"/>
      <c r="M57" s="110"/>
      <c r="N57" s="110"/>
      <c r="O57" s="110"/>
      <c r="P57" s="110"/>
      <c r="Q57" s="110"/>
      <c r="R57" s="110"/>
      <c r="S57" s="110"/>
      <c r="T57" s="110"/>
      <c r="U57" s="110"/>
      <c r="V57" s="110"/>
      <c r="W57" s="110"/>
      <c r="X57" s="110"/>
    </row>
    <row r="58" spans="1:26">
      <c r="A58" s="111" t="s">
        <v>80</v>
      </c>
      <c r="B58" s="111">
        <v>27.9</v>
      </c>
      <c r="C58" s="111">
        <v>28</v>
      </c>
      <c r="D58" s="111">
        <v>28.2</v>
      </c>
      <c r="E58" s="111">
        <v>28.2</v>
      </c>
      <c r="F58" s="111">
        <v>28.4</v>
      </c>
      <c r="G58" s="111">
        <v>28.6</v>
      </c>
      <c r="H58" s="111">
        <v>28.7</v>
      </c>
      <c r="I58" s="111">
        <v>28.8</v>
      </c>
      <c r="J58" s="111">
        <v>28.8</v>
      </c>
      <c r="K58" s="111">
        <v>28.8</v>
      </c>
      <c r="L58" s="111">
        <v>28.9</v>
      </c>
      <c r="M58" s="111">
        <v>28.9</v>
      </c>
      <c r="N58" s="111">
        <v>29</v>
      </c>
      <c r="O58" s="111">
        <v>29</v>
      </c>
      <c r="P58" s="111">
        <v>29.1</v>
      </c>
      <c r="Q58" s="111">
        <v>29.2</v>
      </c>
      <c r="R58" s="111">
        <v>29.2</v>
      </c>
      <c r="S58" s="111">
        <v>29.2</v>
      </c>
      <c r="T58" s="111">
        <v>29.3</v>
      </c>
      <c r="U58" s="111">
        <v>29.4</v>
      </c>
      <c r="V58" s="111">
        <v>29.4</v>
      </c>
      <c r="W58" s="111">
        <v>29.6</v>
      </c>
      <c r="X58" s="111">
        <v>29.7</v>
      </c>
      <c r="Y58" s="111">
        <v>29.7</v>
      </c>
      <c r="Z58" s="111">
        <v>28.9</v>
      </c>
    </row>
    <row r="59" spans="1:26">
      <c r="A59" s="111" t="s">
        <v>79</v>
      </c>
      <c r="B59" s="111">
        <v>23.2</v>
      </c>
      <c r="C59" s="111">
        <v>23.3</v>
      </c>
      <c r="D59" s="111">
        <v>23.6</v>
      </c>
      <c r="E59" s="111">
        <v>23.9</v>
      </c>
      <c r="F59" s="111">
        <v>24</v>
      </c>
      <c r="G59" s="111">
        <v>24.1</v>
      </c>
      <c r="H59" s="111">
        <v>24.2</v>
      </c>
      <c r="I59" s="111">
        <v>24.5</v>
      </c>
      <c r="J59" s="111">
        <v>25.5</v>
      </c>
      <c r="K59" s="111">
        <v>25.6</v>
      </c>
      <c r="L59" s="111">
        <v>25.7</v>
      </c>
      <c r="M59" s="111">
        <v>25.7</v>
      </c>
      <c r="N59" s="111">
        <v>25.8</v>
      </c>
      <c r="O59" s="111">
        <v>25.9</v>
      </c>
      <c r="P59" s="111">
        <v>26</v>
      </c>
      <c r="Q59" s="111">
        <v>26.1</v>
      </c>
      <c r="R59" s="111">
        <v>26.2</v>
      </c>
      <c r="S59" s="111">
        <v>26.4</v>
      </c>
      <c r="T59" s="111">
        <v>26.5</v>
      </c>
      <c r="U59" s="111">
        <v>26.6</v>
      </c>
      <c r="V59" s="111">
        <v>26.7</v>
      </c>
      <c r="W59" s="111">
        <v>26.8</v>
      </c>
      <c r="X59" s="111">
        <v>26.9</v>
      </c>
      <c r="Y59" s="111">
        <v>27</v>
      </c>
      <c r="Z59" s="111">
        <v>25.4</v>
      </c>
    </row>
    <row r="60" spans="1:26">
      <c r="A60" s="111" t="s">
        <v>82</v>
      </c>
      <c r="B60" s="111">
        <v>19.3</v>
      </c>
      <c r="C60" s="111">
        <v>19.600000000000001</v>
      </c>
      <c r="D60" s="111">
        <v>19.899999999999999</v>
      </c>
      <c r="E60" s="111">
        <v>20.9</v>
      </c>
      <c r="F60" s="111">
        <v>21.2</v>
      </c>
      <c r="G60" s="111">
        <v>21.5</v>
      </c>
      <c r="H60" s="111">
        <v>21.8</v>
      </c>
      <c r="I60" s="111">
        <v>22.1</v>
      </c>
      <c r="J60" s="111">
        <v>23.1</v>
      </c>
      <c r="K60" s="111">
        <v>22.6</v>
      </c>
      <c r="L60" s="111">
        <v>22.7</v>
      </c>
      <c r="M60" s="111">
        <v>23</v>
      </c>
      <c r="N60" s="111">
        <v>23.1</v>
      </c>
      <c r="O60" s="111">
        <v>23.4</v>
      </c>
      <c r="P60" s="111">
        <v>23.7</v>
      </c>
      <c r="Q60" s="111">
        <v>24</v>
      </c>
      <c r="R60" s="111">
        <v>24.3</v>
      </c>
      <c r="S60" s="111">
        <v>24.4</v>
      </c>
      <c r="T60" s="111">
        <v>24.7</v>
      </c>
      <c r="U60" s="111">
        <v>25</v>
      </c>
      <c r="V60" s="111">
        <v>25.1</v>
      </c>
      <c r="W60" s="111">
        <v>25.1</v>
      </c>
      <c r="X60" s="111">
        <v>25.2</v>
      </c>
      <c r="Y60" s="111">
        <v>25.3</v>
      </c>
      <c r="Z60" s="111">
        <v>23</v>
      </c>
    </row>
    <row r="61" spans="1:26">
      <c r="A61" s="111" t="s">
        <v>81</v>
      </c>
      <c r="B61" s="111">
        <v>20.100000000000001</v>
      </c>
      <c r="C61" s="111">
        <v>20.2</v>
      </c>
      <c r="D61" s="111">
        <v>20.3</v>
      </c>
      <c r="E61" s="111">
        <v>19.8</v>
      </c>
      <c r="F61" s="111">
        <v>19.899999999999999</v>
      </c>
      <c r="G61" s="111">
        <v>20.2</v>
      </c>
      <c r="H61" s="111">
        <v>20.3</v>
      </c>
      <c r="I61" s="111">
        <v>20.6</v>
      </c>
      <c r="J61" s="111">
        <v>21.6</v>
      </c>
      <c r="K61" s="111">
        <v>21.9</v>
      </c>
      <c r="L61" s="111">
        <v>22.2</v>
      </c>
      <c r="M61" s="111">
        <v>22.5</v>
      </c>
      <c r="N61" s="111">
        <v>22.6</v>
      </c>
      <c r="O61" s="111">
        <v>22.9</v>
      </c>
      <c r="P61" s="111">
        <v>23</v>
      </c>
      <c r="Q61" s="111">
        <v>23.1</v>
      </c>
      <c r="R61" s="111">
        <v>23.4</v>
      </c>
      <c r="S61" s="111">
        <v>23.7</v>
      </c>
      <c r="T61" s="111">
        <v>24</v>
      </c>
      <c r="U61" s="111">
        <v>24.1</v>
      </c>
      <c r="V61" s="111">
        <v>24.4</v>
      </c>
      <c r="W61" s="111">
        <v>24.7</v>
      </c>
      <c r="X61" s="111">
        <v>25</v>
      </c>
      <c r="Y61" s="111">
        <v>25.1</v>
      </c>
      <c r="Z61" s="111">
        <v>22.3</v>
      </c>
    </row>
    <row r="62" spans="1:26">
      <c r="A62" s="111" t="s">
        <v>86</v>
      </c>
      <c r="B62" s="111">
        <v>13.6</v>
      </c>
      <c r="C62" s="111">
        <v>14.1</v>
      </c>
      <c r="D62" s="111">
        <v>14</v>
      </c>
      <c r="E62" s="111">
        <v>14.5</v>
      </c>
      <c r="F62" s="111">
        <v>15</v>
      </c>
      <c r="G62" s="111">
        <v>15.1</v>
      </c>
      <c r="H62" s="111">
        <v>14.6</v>
      </c>
      <c r="I62" s="111">
        <v>15.1</v>
      </c>
      <c r="J62" s="111">
        <v>15.2</v>
      </c>
      <c r="K62" s="111">
        <v>15.5</v>
      </c>
      <c r="L62" s="111">
        <v>15.2</v>
      </c>
      <c r="M62" s="111">
        <v>15.3</v>
      </c>
      <c r="N62" s="111">
        <v>15.4</v>
      </c>
      <c r="O62" s="111">
        <v>15.5</v>
      </c>
      <c r="P62" s="111">
        <v>15.6</v>
      </c>
      <c r="Q62" s="111">
        <v>15.7</v>
      </c>
      <c r="R62" s="111">
        <v>15.4</v>
      </c>
      <c r="S62" s="111">
        <v>15.5</v>
      </c>
      <c r="T62" s="111">
        <v>15.6</v>
      </c>
      <c r="U62" s="111">
        <v>15.3</v>
      </c>
      <c r="V62" s="111">
        <v>14.8</v>
      </c>
      <c r="W62" s="111">
        <v>14.6</v>
      </c>
      <c r="X62" s="111">
        <v>14.5</v>
      </c>
      <c r="Y62" s="111">
        <v>14.4</v>
      </c>
      <c r="Z62" s="111">
        <v>15</v>
      </c>
    </row>
    <row r="63" spans="1:26">
      <c r="A63" s="111" t="s">
        <v>85</v>
      </c>
      <c r="B63" s="111">
        <v>8.5</v>
      </c>
      <c r="C63" s="111">
        <v>8.4</v>
      </c>
      <c r="D63" s="111">
        <v>8.3000000000000007</v>
      </c>
      <c r="E63" s="111">
        <v>8.8000000000000007</v>
      </c>
      <c r="F63" s="111">
        <v>8.6</v>
      </c>
      <c r="G63" s="111">
        <v>8.4</v>
      </c>
      <c r="H63" s="111">
        <v>8.9</v>
      </c>
      <c r="I63" s="111">
        <v>8.8000000000000007</v>
      </c>
      <c r="J63" s="111">
        <v>9.3000000000000007</v>
      </c>
      <c r="K63" s="111">
        <v>9.8000000000000007</v>
      </c>
      <c r="L63" s="111">
        <v>9.6999999999999993</v>
      </c>
      <c r="M63" s="111">
        <v>10.199999999999999</v>
      </c>
      <c r="N63" s="111">
        <v>10.7</v>
      </c>
      <c r="O63" s="111">
        <v>11.2</v>
      </c>
      <c r="P63" s="111">
        <v>11.7</v>
      </c>
      <c r="Q63" s="111">
        <v>12.2</v>
      </c>
      <c r="R63" s="111">
        <v>12</v>
      </c>
      <c r="S63" s="111">
        <v>11.8</v>
      </c>
      <c r="T63" s="111">
        <v>12.3</v>
      </c>
      <c r="U63" s="111">
        <v>12.8</v>
      </c>
      <c r="V63" s="111">
        <v>12.6</v>
      </c>
      <c r="W63" s="111">
        <v>13.1</v>
      </c>
      <c r="X63" s="111">
        <v>13</v>
      </c>
      <c r="Y63" s="111">
        <v>12.9</v>
      </c>
      <c r="Z63" s="111">
        <v>10.6</v>
      </c>
    </row>
    <row r="64" spans="1:26">
      <c r="A64" s="111" t="s">
        <v>88</v>
      </c>
      <c r="B64" s="111">
        <v>8.4</v>
      </c>
      <c r="C64" s="111">
        <v>8.3000000000000007</v>
      </c>
      <c r="D64" s="111">
        <v>8.1</v>
      </c>
      <c r="E64" s="111">
        <v>8</v>
      </c>
      <c r="F64" s="111">
        <v>7.9</v>
      </c>
      <c r="G64" s="111">
        <v>8.4</v>
      </c>
      <c r="H64" s="111">
        <v>8.9</v>
      </c>
      <c r="I64" s="111">
        <v>8.8000000000000007</v>
      </c>
      <c r="J64" s="111">
        <v>8.6</v>
      </c>
      <c r="K64" s="111">
        <v>9.1</v>
      </c>
      <c r="L64" s="111">
        <v>9.6</v>
      </c>
      <c r="M64" s="111">
        <v>10.1</v>
      </c>
      <c r="N64" s="111">
        <v>9.9</v>
      </c>
      <c r="O64" s="111">
        <v>9.6999999999999993</v>
      </c>
      <c r="P64" s="111">
        <v>10.199999999999999</v>
      </c>
      <c r="Q64" s="111">
        <v>10.7</v>
      </c>
      <c r="R64" s="111">
        <v>11.2</v>
      </c>
      <c r="S64" s="111">
        <v>11.1</v>
      </c>
      <c r="T64" s="111">
        <v>11</v>
      </c>
      <c r="U64" s="111">
        <v>10.9</v>
      </c>
      <c r="V64" s="111">
        <v>11.4</v>
      </c>
      <c r="W64" s="111">
        <v>12.4</v>
      </c>
      <c r="X64" s="111">
        <v>12.2</v>
      </c>
      <c r="Y64" s="111">
        <v>12.1</v>
      </c>
      <c r="Z64" s="111">
        <v>9.9</v>
      </c>
    </row>
    <row r="65" spans="1:26">
      <c r="A65" s="111" t="s">
        <v>84</v>
      </c>
      <c r="B65" s="111">
        <v>6.3</v>
      </c>
      <c r="C65" s="111">
        <v>6.2</v>
      </c>
      <c r="D65" s="111">
        <v>6.7</v>
      </c>
      <c r="E65" s="111">
        <v>7.2</v>
      </c>
      <c r="F65" s="111">
        <v>7.7</v>
      </c>
      <c r="G65" s="111">
        <v>8.1999999999999993</v>
      </c>
      <c r="H65" s="111">
        <v>8.6999999999999993</v>
      </c>
      <c r="I65" s="111">
        <v>9.1999999999999993</v>
      </c>
      <c r="J65" s="111">
        <v>9</v>
      </c>
      <c r="K65" s="111">
        <v>9.5</v>
      </c>
      <c r="L65" s="111">
        <v>9.4</v>
      </c>
      <c r="M65" s="111">
        <v>9.9</v>
      </c>
      <c r="N65" s="111">
        <v>10.4</v>
      </c>
      <c r="O65" s="111">
        <v>10.3</v>
      </c>
      <c r="P65" s="111">
        <v>10.199999999999999</v>
      </c>
      <c r="Q65" s="111">
        <v>10.7</v>
      </c>
      <c r="R65" s="111">
        <v>10.6</v>
      </c>
      <c r="S65" s="111">
        <v>11.1</v>
      </c>
      <c r="T65" s="111">
        <v>11</v>
      </c>
      <c r="U65" s="111">
        <v>11.5</v>
      </c>
      <c r="V65" s="111">
        <v>12</v>
      </c>
      <c r="W65" s="111">
        <v>11.8</v>
      </c>
      <c r="X65" s="111">
        <v>12.3</v>
      </c>
      <c r="Y65" s="111">
        <v>12.2</v>
      </c>
      <c r="Z65" s="111">
        <v>9.6999999999999993</v>
      </c>
    </row>
    <row r="66" spans="1:26">
      <c r="A66" s="111" t="s">
        <v>87</v>
      </c>
      <c r="B66" s="111">
        <v>6.6</v>
      </c>
      <c r="C66" s="111">
        <v>6.5</v>
      </c>
      <c r="D66" s="111">
        <v>6.3</v>
      </c>
      <c r="E66" s="111">
        <v>6.2</v>
      </c>
      <c r="F66" s="111">
        <v>6</v>
      </c>
      <c r="G66" s="111">
        <v>5.9</v>
      </c>
      <c r="H66" s="111">
        <v>6.4</v>
      </c>
      <c r="I66" s="111">
        <v>6.3</v>
      </c>
      <c r="J66" s="111">
        <v>6.8</v>
      </c>
      <c r="K66" s="111">
        <v>7.3</v>
      </c>
      <c r="L66" s="111">
        <v>7.2</v>
      </c>
      <c r="M66" s="111">
        <v>7.1</v>
      </c>
      <c r="N66" s="111">
        <v>7</v>
      </c>
      <c r="O66" s="111">
        <v>6.9</v>
      </c>
      <c r="P66" s="111">
        <v>6.7</v>
      </c>
      <c r="Q66" s="111">
        <v>6.5</v>
      </c>
      <c r="R66" s="111">
        <v>6.4</v>
      </c>
      <c r="S66" s="111">
        <v>6.9</v>
      </c>
      <c r="T66" s="111">
        <v>6.8</v>
      </c>
      <c r="U66" s="111">
        <v>6.7</v>
      </c>
      <c r="V66" s="111">
        <v>6.6</v>
      </c>
      <c r="W66" s="111">
        <v>7.1</v>
      </c>
      <c r="X66" s="111">
        <v>7</v>
      </c>
      <c r="Y66" s="111">
        <v>7.5</v>
      </c>
      <c r="Z66" s="111">
        <v>6.7</v>
      </c>
    </row>
    <row r="67" spans="1:26">
      <c r="A67" s="111" t="s">
        <v>83</v>
      </c>
      <c r="B67" s="111">
        <v>6.3</v>
      </c>
      <c r="C67" s="111">
        <v>6.2</v>
      </c>
      <c r="D67" s="111">
        <v>6.7</v>
      </c>
      <c r="E67" s="111">
        <v>6.6</v>
      </c>
      <c r="F67" s="111">
        <v>6.4</v>
      </c>
      <c r="G67" s="111">
        <v>6.3</v>
      </c>
      <c r="H67" s="111">
        <v>6.2</v>
      </c>
      <c r="I67" s="111">
        <v>6</v>
      </c>
      <c r="J67" s="111">
        <v>6.5</v>
      </c>
      <c r="K67" s="111">
        <v>6.3</v>
      </c>
      <c r="L67" s="111">
        <v>6.2</v>
      </c>
      <c r="M67" s="111">
        <v>6.1</v>
      </c>
      <c r="N67" s="111">
        <v>6.6</v>
      </c>
      <c r="O67" s="111">
        <v>6.5</v>
      </c>
      <c r="P67" s="111">
        <v>6.4</v>
      </c>
      <c r="Q67" s="111">
        <v>6.2</v>
      </c>
      <c r="R67" s="111">
        <v>6.7</v>
      </c>
      <c r="S67" s="111">
        <v>7.2</v>
      </c>
      <c r="T67" s="111">
        <v>7</v>
      </c>
      <c r="U67" s="111">
        <v>6.9</v>
      </c>
      <c r="V67" s="111">
        <v>6.7</v>
      </c>
      <c r="W67" s="111">
        <v>6.5</v>
      </c>
      <c r="X67" s="111">
        <v>6.3</v>
      </c>
      <c r="Y67" s="111">
        <v>6.1</v>
      </c>
      <c r="Z67" s="111">
        <v>6.5</v>
      </c>
    </row>
    <row r="68" spans="1:26">
      <c r="A68" s="112" t="s">
        <v>55</v>
      </c>
      <c r="B68" s="111">
        <v>14</v>
      </c>
      <c r="C68" s="111">
        <v>14.1</v>
      </c>
      <c r="D68" s="111">
        <v>14.2</v>
      </c>
      <c r="E68" s="111">
        <v>14.4</v>
      </c>
      <c r="F68" s="111">
        <v>14.5</v>
      </c>
      <c r="G68" s="111">
        <v>14.7</v>
      </c>
      <c r="H68" s="111">
        <v>14.9</v>
      </c>
      <c r="I68" s="111">
        <v>15</v>
      </c>
      <c r="J68" s="111">
        <v>15.4</v>
      </c>
      <c r="K68" s="111">
        <v>15.6</v>
      </c>
      <c r="L68" s="111">
        <v>15.7</v>
      </c>
      <c r="M68" s="111">
        <v>15.9</v>
      </c>
      <c r="N68" s="111">
        <v>16.100000000000001</v>
      </c>
      <c r="O68" s="111">
        <v>16.100000000000001</v>
      </c>
      <c r="P68" s="111">
        <v>16.3</v>
      </c>
      <c r="Q68" s="111">
        <v>16.399999999999999</v>
      </c>
      <c r="R68" s="111">
        <v>16.5</v>
      </c>
      <c r="S68" s="111">
        <v>16.7</v>
      </c>
      <c r="T68" s="111">
        <v>16.8</v>
      </c>
      <c r="U68" s="111">
        <v>16.899999999999999</v>
      </c>
      <c r="V68" s="111">
        <v>17</v>
      </c>
      <c r="W68" s="111">
        <v>17.2</v>
      </c>
      <c r="X68" s="111">
        <v>17.2</v>
      </c>
      <c r="Y68" s="111">
        <v>17.2</v>
      </c>
      <c r="Z68" s="111"/>
    </row>
    <row r="69" spans="1:26" ht="23">
      <c r="A69" s="113" t="s">
        <v>89</v>
      </c>
    </row>
    <row r="70" spans="1:26" ht="18">
      <c r="A70" s="114" t="s">
        <v>90</v>
      </c>
    </row>
    <row r="71" spans="1:26" ht="18">
      <c r="A71" s="107" t="s">
        <v>91</v>
      </c>
    </row>
    <row r="72" spans="1:26" ht="18">
      <c r="A72" s="114" t="s">
        <v>92</v>
      </c>
    </row>
    <row r="73" spans="1:26" ht="18">
      <c r="A73" s="107" t="s">
        <v>93</v>
      </c>
    </row>
    <row r="74" spans="1:26" ht="18">
      <c r="A74" s="114" t="s">
        <v>94</v>
      </c>
    </row>
    <row r="75" spans="1:26" ht="18">
      <c r="A75" s="107" t="s">
        <v>103</v>
      </c>
    </row>
    <row r="76" spans="1:26">
      <c r="A76" s="2" t="s">
        <v>104</v>
      </c>
    </row>
    <row r="77" spans="1:26">
      <c r="A77" t="s">
        <v>98</v>
      </c>
    </row>
  </sheetData>
  <hyperlinks>
    <hyperlink ref="A1" r:id="rId1" display="https://f1fantasytools.com/team-calculator" xr:uid="{00000000-0004-0000-0600-000000000000}"/>
    <hyperlink ref="A2" r:id="rId2" display="https://f1fantasytools.com/budget-builder" xr:uid="{00000000-0004-0000-0600-000001000000}"/>
    <hyperlink ref="A3" r:id="rId3" display="https://f1fantasytools.com/live" xr:uid="{00000000-0004-0000-0600-000002000000}"/>
    <hyperlink ref="A4" r:id="rId4" display="https://f1fantasytools.com/season-summary" xr:uid="{00000000-0004-0000-0600-000003000000}"/>
    <hyperlink ref="A5" r:id="rId5" display="https://f1fantasytools.com/elite-data" xr:uid="{00000000-0004-0000-0600-000004000000}"/>
    <hyperlink ref="A6" r:id="rId6" display="https://f1fantasytools.com/statistics" xr:uid="{00000000-0004-0000-0600-000005000000}"/>
    <hyperlink ref="A7" r:id="rId7" display="https://f1fantasytools.com/team-analyzer" xr:uid="{00000000-0004-0000-0600-000006000000}"/>
    <hyperlink ref="A8" r:id="rId8" display="https://f1fantasytools.com/league-analyzer" xr:uid="{00000000-0004-0000-0600-000007000000}"/>
    <hyperlink ref="A9" r:id="rId9" display="https://f1fantasytools.com/hindsight" xr:uid="{00000000-0004-0000-0600-000008000000}"/>
    <hyperlink ref="A12" r:id="rId10" display="https://f1fantasytools.com/pricing" xr:uid="{00000000-0004-0000-0600-000009000000}"/>
    <hyperlink ref="A13" r:id="rId11" display="https://f1fantasytools.com/pricing" xr:uid="{00000000-0004-0000-0600-00000A000000}"/>
    <hyperlink ref="A14" r:id="rId12" display="https://f1fantasytools.com/login" xr:uid="{00000000-0004-0000-0600-00000B000000}"/>
    <hyperlink ref="A76" r:id="rId13" display="https://f1fantasytools.com/legal" xr:uid="{00000000-0004-0000-0600-00000C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8"/>
  </sheetPr>
  <dimension ref="A1:Z102"/>
  <sheetViews>
    <sheetView topLeftCell="A47" workbookViewId="0">
      <selection activeCell="G82" sqref="G82"/>
    </sheetView>
  </sheetViews>
  <sheetFormatPr baseColWidth="10" defaultRowHeight="16"/>
  <sheetData>
    <row r="1" spans="1:1">
      <c r="A1" s="2" t="s">
        <v>2</v>
      </c>
    </row>
    <row r="2" spans="1:1">
      <c r="A2" s="2" t="s">
        <v>3</v>
      </c>
    </row>
    <row r="3" spans="1:1">
      <c r="A3" s="2" t="s">
        <v>4</v>
      </c>
    </row>
    <row r="4" spans="1:1">
      <c r="A4" s="2" t="s">
        <v>5</v>
      </c>
    </row>
    <row r="5" spans="1:1">
      <c r="A5" s="2" t="s">
        <v>6</v>
      </c>
    </row>
    <row r="6" spans="1:1">
      <c r="A6" s="2" t="s">
        <v>7</v>
      </c>
    </row>
    <row r="7" spans="1:1">
      <c r="A7" s="2" t="s">
        <v>8</v>
      </c>
    </row>
    <row r="8" spans="1:1">
      <c r="A8" s="2" t="s">
        <v>9</v>
      </c>
    </row>
    <row r="9" spans="1:1">
      <c r="A9" s="2" t="s">
        <v>10</v>
      </c>
    </row>
    <row r="10" spans="1:1" ht="18">
      <c r="A10" s="107" t="s">
        <v>11</v>
      </c>
    </row>
    <row r="11" spans="1:1" ht="18">
      <c r="A11" s="108" t="s">
        <v>12</v>
      </c>
    </row>
    <row r="12" spans="1:1">
      <c r="A12" s="2" t="s">
        <v>13</v>
      </c>
    </row>
    <row r="13" spans="1:1">
      <c r="A13" s="2" t="s">
        <v>14</v>
      </c>
    </row>
    <row r="14" spans="1:1">
      <c r="A14" s="2" t="s">
        <v>16</v>
      </c>
    </row>
    <row r="15" spans="1:1" ht="18">
      <c r="A15" s="108" t="s">
        <v>18</v>
      </c>
    </row>
    <row r="17" spans="1:1" ht="23">
      <c r="A17" s="109" t="s">
        <v>7</v>
      </c>
    </row>
    <row r="19" spans="1:1" ht="18">
      <c r="A19" s="107" t="s">
        <v>20</v>
      </c>
    </row>
    <row r="20" spans="1:1" ht="18">
      <c r="A20" s="107" t="s">
        <v>21</v>
      </c>
    </row>
    <row r="22" spans="1:1" ht="18">
      <c r="A22" s="108" t="s">
        <v>100</v>
      </c>
    </row>
    <row r="23" spans="1:1" ht="18">
      <c r="A23" s="108" t="s">
        <v>23</v>
      </c>
    </row>
    <row r="24" spans="1:1">
      <c r="A24" s="2" t="s">
        <v>2</v>
      </c>
    </row>
    <row r="25" spans="1:1">
      <c r="A25" s="2" t="s">
        <v>3</v>
      </c>
    </row>
    <row r="26" spans="1:1">
      <c r="A26" s="2" t="s">
        <v>4</v>
      </c>
    </row>
    <row r="27" spans="1:1">
      <c r="A27" s="2" t="s">
        <v>5</v>
      </c>
    </row>
    <row r="28" spans="1:1">
      <c r="A28" s="2" t="s">
        <v>6</v>
      </c>
    </row>
    <row r="29" spans="1:1">
      <c r="A29" s="2" t="s">
        <v>7</v>
      </c>
    </row>
    <row r="30" spans="1:1">
      <c r="A30" s="2" t="s">
        <v>8</v>
      </c>
    </row>
    <row r="31" spans="1:1">
      <c r="A31" s="2" t="s">
        <v>9</v>
      </c>
    </row>
    <row r="32" spans="1:1">
      <c r="A32" s="2" t="s">
        <v>10</v>
      </c>
    </row>
    <row r="33" spans="1:1" ht="18">
      <c r="A33" s="107" t="s">
        <v>11</v>
      </c>
    </row>
    <row r="34" spans="1:1" ht="18">
      <c r="A34" s="108" t="s">
        <v>12</v>
      </c>
    </row>
    <row r="35" spans="1:1">
      <c r="A35" s="2" t="s">
        <v>13</v>
      </c>
    </row>
    <row r="36" spans="1:1">
      <c r="A36" s="2" t="s">
        <v>14</v>
      </c>
    </row>
    <row r="37" spans="1:1">
      <c r="A37" s="2" t="s">
        <v>16</v>
      </c>
    </row>
    <row r="38" spans="1:1" ht="18">
      <c r="A38" s="108" t="s">
        <v>18</v>
      </c>
    </row>
    <row r="40" spans="1:1" ht="23">
      <c r="A40" s="109" t="s">
        <v>7</v>
      </c>
    </row>
    <row r="42" spans="1:1" ht="18">
      <c r="A42" s="107" t="s">
        <v>20</v>
      </c>
    </row>
    <row r="43" spans="1:1" ht="18">
      <c r="A43" s="107" t="s">
        <v>21</v>
      </c>
    </row>
    <row r="45" spans="1:1" ht="18">
      <c r="A45" s="108" t="s">
        <v>111</v>
      </c>
    </row>
    <row r="46" spans="1:1" ht="18">
      <c r="A46" s="108" t="s">
        <v>23</v>
      </c>
    </row>
    <row r="47" spans="1:1" ht="18">
      <c r="A47" s="108" t="s">
        <v>24</v>
      </c>
    </row>
    <row r="48" spans="1:1" ht="18">
      <c r="A48" s="108" t="s">
        <v>25</v>
      </c>
    </row>
    <row r="49" spans="1:26" ht="18">
      <c r="A49" s="108" t="s">
        <v>26</v>
      </c>
    </row>
    <row r="50" spans="1:26" ht="18">
      <c r="A50" s="108" t="s">
        <v>112</v>
      </c>
    </row>
    <row r="51" spans="1:26" ht="18">
      <c r="A51" s="107" t="s">
        <v>101</v>
      </c>
    </row>
    <row r="52" spans="1:26" ht="18">
      <c r="A52" s="108" t="s">
        <v>29</v>
      </c>
    </row>
    <row r="53" spans="1:26">
      <c r="A53" s="110"/>
      <c r="B53" s="110"/>
      <c r="C53" s="110"/>
      <c r="D53" s="110"/>
      <c r="E53" s="110"/>
      <c r="F53" s="110"/>
      <c r="G53" s="110"/>
      <c r="H53" s="110"/>
      <c r="I53" s="110"/>
      <c r="J53" s="110"/>
      <c r="K53" s="110"/>
      <c r="L53" s="110"/>
      <c r="M53" s="110"/>
      <c r="N53" s="110"/>
      <c r="O53" s="110"/>
      <c r="P53" s="110"/>
      <c r="Q53" s="110"/>
      <c r="R53" s="110"/>
      <c r="S53" s="110"/>
      <c r="T53" s="110"/>
      <c r="U53" s="110"/>
      <c r="V53" s="110"/>
      <c r="W53" s="110"/>
      <c r="X53" s="110"/>
    </row>
    <row r="54" spans="1:26">
      <c r="A54" s="111" t="s">
        <v>56</v>
      </c>
      <c r="B54" s="111">
        <v>45</v>
      </c>
      <c r="C54" s="111">
        <v>36</v>
      </c>
      <c r="D54" s="111">
        <v>-10</v>
      </c>
      <c r="E54" s="111">
        <v>47</v>
      </c>
      <c r="F54" s="111">
        <v>58</v>
      </c>
      <c r="G54" s="111">
        <v>40</v>
      </c>
      <c r="H54" s="111">
        <v>35</v>
      </c>
      <c r="I54" s="111">
        <v>13</v>
      </c>
      <c r="J54" s="111">
        <v>37</v>
      </c>
      <c r="K54" s="111">
        <v>38</v>
      </c>
      <c r="L54" s="111">
        <v>25</v>
      </c>
      <c r="M54" s="111">
        <v>29</v>
      </c>
      <c r="N54" s="111">
        <v>17</v>
      </c>
      <c r="O54" s="111">
        <v>35</v>
      </c>
      <c r="P54" s="111">
        <v>28</v>
      </c>
      <c r="Q54" s="111">
        <v>15</v>
      </c>
      <c r="R54" s="111">
        <v>18</v>
      </c>
      <c r="S54" s="111">
        <v>28</v>
      </c>
      <c r="T54" s="111">
        <v>38</v>
      </c>
      <c r="U54" s="111">
        <v>21</v>
      </c>
      <c r="V54" s="111">
        <v>77</v>
      </c>
      <c r="W54" s="111">
        <v>22</v>
      </c>
      <c r="X54" s="111">
        <v>39</v>
      </c>
      <c r="Y54" s="111">
        <v>23</v>
      </c>
      <c r="Z54" s="111">
        <v>31.4</v>
      </c>
    </row>
    <row r="55" spans="1:26">
      <c r="A55" s="111" t="s">
        <v>57</v>
      </c>
      <c r="B55" s="111">
        <v>16</v>
      </c>
      <c r="C55" s="111">
        <v>8</v>
      </c>
      <c r="D55" s="111">
        <v>23</v>
      </c>
      <c r="E55" s="111">
        <v>19</v>
      </c>
      <c r="F55" s="111">
        <v>36</v>
      </c>
      <c r="G55" s="111">
        <v>25</v>
      </c>
      <c r="H55" s="111">
        <v>37</v>
      </c>
      <c r="I55" s="111">
        <v>19</v>
      </c>
      <c r="J55" s="111">
        <v>40</v>
      </c>
      <c r="K55" s="111">
        <v>51</v>
      </c>
      <c r="L55" s="111">
        <v>13</v>
      </c>
      <c r="M55" s="111">
        <v>26</v>
      </c>
      <c r="N55" s="111">
        <v>28</v>
      </c>
      <c r="O55" s="111">
        <v>17</v>
      </c>
      <c r="P55" s="111">
        <v>56</v>
      </c>
      <c r="Q55" s="111">
        <v>36</v>
      </c>
      <c r="R55" s="111">
        <v>38</v>
      </c>
      <c r="S55" s="111">
        <v>35</v>
      </c>
      <c r="T55" s="111">
        <v>30</v>
      </c>
      <c r="U55" s="111">
        <v>29</v>
      </c>
      <c r="V55" s="111">
        <v>24</v>
      </c>
      <c r="W55" s="111">
        <v>29</v>
      </c>
      <c r="X55" s="111">
        <v>25</v>
      </c>
      <c r="Y55" s="111">
        <v>35</v>
      </c>
      <c r="Z55" s="111">
        <v>29</v>
      </c>
    </row>
    <row r="56" spans="1:26">
      <c r="A56" s="111" t="s">
        <v>60</v>
      </c>
      <c r="B56" s="111">
        <v>22</v>
      </c>
      <c r="C56" s="111">
        <v>37</v>
      </c>
      <c r="D56" s="111">
        <v>38</v>
      </c>
      <c r="E56" s="111">
        <v>31</v>
      </c>
      <c r="F56" s="111">
        <v>34</v>
      </c>
      <c r="G56" s="111">
        <v>33</v>
      </c>
      <c r="H56" s="111">
        <v>24</v>
      </c>
      <c r="I56" s="111">
        <v>45</v>
      </c>
      <c r="J56" s="111">
        <v>-16</v>
      </c>
      <c r="K56" s="111">
        <v>18</v>
      </c>
      <c r="L56" s="111">
        <v>16</v>
      </c>
      <c r="M56" s="111">
        <v>2</v>
      </c>
      <c r="N56" s="111">
        <v>20</v>
      </c>
      <c r="O56" s="111">
        <v>22</v>
      </c>
      <c r="P56" s="111">
        <v>26</v>
      </c>
      <c r="Q56" s="111">
        <v>46</v>
      </c>
      <c r="R56" s="111">
        <v>28</v>
      </c>
      <c r="S56" s="111">
        <v>21</v>
      </c>
      <c r="T56" s="111">
        <v>55</v>
      </c>
      <c r="U56" s="111">
        <v>35</v>
      </c>
      <c r="V56" s="111">
        <v>26</v>
      </c>
      <c r="W56" s="111">
        <v>28</v>
      </c>
      <c r="X56" s="111">
        <v>38</v>
      </c>
      <c r="Y56" s="111">
        <v>55</v>
      </c>
      <c r="Z56" s="111">
        <v>28.5</v>
      </c>
    </row>
    <row r="57" spans="1:26">
      <c r="A57" s="111" t="s">
        <v>63</v>
      </c>
      <c r="B57" s="111"/>
      <c r="C57" s="111">
        <v>26</v>
      </c>
      <c r="D57" s="111"/>
      <c r="E57" s="111"/>
      <c r="F57" s="111"/>
      <c r="G57" s="111"/>
      <c r="H57" s="111"/>
      <c r="I57" s="111"/>
      <c r="J57" s="111"/>
      <c r="K57" s="111"/>
      <c r="L57" s="111"/>
      <c r="M57" s="111"/>
      <c r="N57" s="111"/>
      <c r="O57" s="111"/>
      <c r="P57" s="111"/>
      <c r="Q57" s="111"/>
      <c r="R57" s="111"/>
      <c r="S57" s="111"/>
      <c r="T57" s="111"/>
      <c r="U57" s="111"/>
      <c r="V57" s="111"/>
      <c r="W57" s="111"/>
      <c r="X57" s="111"/>
      <c r="Y57" s="111"/>
      <c r="Z57" s="111">
        <v>26</v>
      </c>
    </row>
    <row r="58" spans="1:26">
      <c r="A58" s="111" t="s">
        <v>58</v>
      </c>
      <c r="B58" s="111">
        <v>10</v>
      </c>
      <c r="C58" s="111">
        <v>23</v>
      </c>
      <c r="D58" s="111">
        <v>21</v>
      </c>
      <c r="E58" s="111">
        <v>10</v>
      </c>
      <c r="F58" s="111">
        <v>12</v>
      </c>
      <c r="G58" s="111">
        <v>22</v>
      </c>
      <c r="H58" s="111">
        <v>24</v>
      </c>
      <c r="I58" s="111">
        <v>27</v>
      </c>
      <c r="J58" s="111">
        <v>17</v>
      </c>
      <c r="K58" s="111">
        <v>15</v>
      </c>
      <c r="L58" s="111">
        <v>42</v>
      </c>
      <c r="M58" s="111">
        <v>23</v>
      </c>
      <c r="N58" s="111">
        <v>46</v>
      </c>
      <c r="O58" s="111">
        <v>30</v>
      </c>
      <c r="P58" s="111">
        <v>20</v>
      </c>
      <c r="Q58" s="111">
        <v>29</v>
      </c>
      <c r="R58" s="111">
        <v>47</v>
      </c>
      <c r="S58" s="111">
        <v>26</v>
      </c>
      <c r="T58" s="111">
        <v>30</v>
      </c>
      <c r="U58" s="111">
        <v>26</v>
      </c>
      <c r="V58" s="111">
        <v>16</v>
      </c>
      <c r="W58" s="111">
        <v>22</v>
      </c>
      <c r="X58" s="111">
        <v>36</v>
      </c>
      <c r="Y58" s="111">
        <v>10</v>
      </c>
      <c r="Z58" s="111">
        <v>24.3</v>
      </c>
    </row>
    <row r="59" spans="1:26">
      <c r="A59" s="111" t="s">
        <v>69</v>
      </c>
      <c r="B59" s="111">
        <v>36</v>
      </c>
      <c r="C59" s="111"/>
      <c r="D59" s="111">
        <v>46</v>
      </c>
      <c r="E59" s="111">
        <v>28</v>
      </c>
      <c r="F59" s="111">
        <v>30</v>
      </c>
      <c r="G59" s="111">
        <v>26</v>
      </c>
      <c r="H59" s="111">
        <v>17</v>
      </c>
      <c r="I59" s="111">
        <v>23</v>
      </c>
      <c r="J59" s="111">
        <v>-16</v>
      </c>
      <c r="K59" s="111">
        <v>16</v>
      </c>
      <c r="L59" s="111">
        <v>28</v>
      </c>
      <c r="M59" s="111">
        <v>28</v>
      </c>
      <c r="N59" s="111">
        <v>17</v>
      </c>
      <c r="O59" s="111">
        <v>15</v>
      </c>
      <c r="P59" s="111">
        <v>20</v>
      </c>
      <c r="Q59" s="111">
        <v>19</v>
      </c>
      <c r="R59" s="111">
        <v>-4</v>
      </c>
      <c r="S59" s="111">
        <v>18</v>
      </c>
      <c r="T59" s="111">
        <v>42</v>
      </c>
      <c r="U59" s="111">
        <v>47</v>
      </c>
      <c r="V59" s="111">
        <v>-12</v>
      </c>
      <c r="W59" s="111">
        <v>31</v>
      </c>
      <c r="X59" s="111">
        <v>22</v>
      </c>
      <c r="Y59" s="111">
        <v>27</v>
      </c>
      <c r="Z59" s="111">
        <v>21.9</v>
      </c>
    </row>
    <row r="60" spans="1:26">
      <c r="A60" s="111" t="s">
        <v>61</v>
      </c>
      <c r="B60" s="111">
        <v>12</v>
      </c>
      <c r="C60" s="111">
        <v>6</v>
      </c>
      <c r="D60" s="111">
        <v>-19</v>
      </c>
      <c r="E60" s="111">
        <v>5</v>
      </c>
      <c r="F60" s="111">
        <v>30</v>
      </c>
      <c r="G60" s="111">
        <v>20</v>
      </c>
      <c r="H60" s="111">
        <v>16</v>
      </c>
      <c r="I60" s="111">
        <v>20</v>
      </c>
      <c r="J60" s="111">
        <v>32</v>
      </c>
      <c r="K60" s="111">
        <v>29</v>
      </c>
      <c r="L60" s="111">
        <v>23</v>
      </c>
      <c r="M60" s="111">
        <v>47</v>
      </c>
      <c r="N60" s="111">
        <v>26</v>
      </c>
      <c r="O60" s="111">
        <v>46</v>
      </c>
      <c r="P60" s="111">
        <v>21</v>
      </c>
      <c r="Q60" s="111">
        <v>18</v>
      </c>
      <c r="R60" s="111">
        <v>26</v>
      </c>
      <c r="S60" s="111">
        <v>17</v>
      </c>
      <c r="T60" s="111">
        <v>-10</v>
      </c>
      <c r="U60" s="111">
        <v>24</v>
      </c>
      <c r="V60" s="111">
        <v>15</v>
      </c>
      <c r="W60" s="111">
        <v>46</v>
      </c>
      <c r="X60" s="111">
        <v>12</v>
      </c>
      <c r="Y60" s="111">
        <v>33</v>
      </c>
      <c r="Z60" s="111">
        <v>20.6</v>
      </c>
    </row>
    <row r="61" spans="1:26">
      <c r="A61" s="111" t="s">
        <v>59</v>
      </c>
      <c r="B61" s="111">
        <v>20</v>
      </c>
      <c r="C61" s="111">
        <v>15</v>
      </c>
      <c r="D61" s="111">
        <v>-3</v>
      </c>
      <c r="E61" s="111">
        <v>13</v>
      </c>
      <c r="F61" s="111">
        <v>27</v>
      </c>
      <c r="G61" s="111">
        <v>10</v>
      </c>
      <c r="H61" s="111">
        <v>23</v>
      </c>
      <c r="I61" s="111">
        <v>16</v>
      </c>
      <c r="J61" s="111">
        <v>27</v>
      </c>
      <c r="K61" s="111">
        <v>27</v>
      </c>
      <c r="L61" s="111">
        <v>43</v>
      </c>
      <c r="M61" s="111">
        <v>-9</v>
      </c>
      <c r="N61" s="111">
        <v>27</v>
      </c>
      <c r="O61" s="111">
        <v>-21</v>
      </c>
      <c r="P61" s="111">
        <v>13</v>
      </c>
      <c r="Q61" s="111">
        <v>21</v>
      </c>
      <c r="R61" s="111">
        <v>26</v>
      </c>
      <c r="S61" s="111">
        <v>19</v>
      </c>
      <c r="T61" s="111">
        <v>38</v>
      </c>
      <c r="U61" s="111">
        <v>20</v>
      </c>
      <c r="V61" s="111">
        <v>25</v>
      </c>
      <c r="W61" s="111">
        <v>36</v>
      </c>
      <c r="X61" s="111">
        <v>25</v>
      </c>
      <c r="Y61" s="111">
        <v>17</v>
      </c>
      <c r="Z61" s="111">
        <v>19</v>
      </c>
    </row>
    <row r="62" spans="1:26">
      <c r="A62" s="111" t="s">
        <v>110</v>
      </c>
      <c r="B62" s="111">
        <v>31</v>
      </c>
      <c r="C62" s="111">
        <v>31</v>
      </c>
      <c r="D62" s="111">
        <v>22</v>
      </c>
      <c r="E62" s="111">
        <v>33</v>
      </c>
      <c r="F62" s="111">
        <v>40</v>
      </c>
      <c r="G62" s="111">
        <v>30</v>
      </c>
      <c r="H62" s="111">
        <v>11</v>
      </c>
      <c r="I62" s="111">
        <v>-20</v>
      </c>
      <c r="J62" s="111">
        <v>-17</v>
      </c>
      <c r="K62" s="111">
        <v>19</v>
      </c>
      <c r="L62" s="111">
        <v>18</v>
      </c>
      <c r="M62" s="111">
        <v>6</v>
      </c>
      <c r="N62" s="111">
        <v>20</v>
      </c>
      <c r="O62" s="111">
        <v>19</v>
      </c>
      <c r="P62" s="111">
        <v>14</v>
      </c>
      <c r="Q62" s="111">
        <v>15</v>
      </c>
      <c r="R62" s="111">
        <v>-2</v>
      </c>
      <c r="S62" s="111">
        <v>9</v>
      </c>
      <c r="T62" s="111">
        <v>19</v>
      </c>
      <c r="U62" s="111">
        <v>10</v>
      </c>
      <c r="V62" s="111">
        <v>26</v>
      </c>
      <c r="W62" s="111">
        <v>18</v>
      </c>
      <c r="X62" s="111">
        <v>-15</v>
      </c>
      <c r="Y62" s="111">
        <v>-18</v>
      </c>
      <c r="Z62" s="111">
        <v>13.3</v>
      </c>
    </row>
    <row r="63" spans="1:26">
      <c r="A63" s="111" t="s">
        <v>63</v>
      </c>
      <c r="B63" s="111"/>
      <c r="C63" s="111"/>
      <c r="D63" s="111"/>
      <c r="E63" s="111"/>
      <c r="F63" s="111"/>
      <c r="G63" s="111"/>
      <c r="H63" s="111"/>
      <c r="I63" s="111"/>
      <c r="J63" s="111"/>
      <c r="K63" s="111"/>
      <c r="L63" s="111"/>
      <c r="M63" s="111"/>
      <c r="N63" s="111"/>
      <c r="O63" s="111"/>
      <c r="P63" s="111"/>
      <c r="Q63" s="111"/>
      <c r="R63" s="111">
        <v>7</v>
      </c>
      <c r="S63" s="111"/>
      <c r="T63" s="111"/>
      <c r="U63" s="111"/>
      <c r="V63" s="111">
        <v>14</v>
      </c>
      <c r="W63" s="111"/>
      <c r="X63" s="111"/>
      <c r="Y63" s="111"/>
      <c r="Z63" s="111">
        <v>10.5</v>
      </c>
    </row>
    <row r="64" spans="1:26">
      <c r="A64" s="111" t="s">
        <v>76</v>
      </c>
      <c r="B64" s="111"/>
      <c r="C64" s="111"/>
      <c r="D64" s="111"/>
      <c r="E64" s="111"/>
      <c r="F64" s="111"/>
      <c r="G64" s="111"/>
      <c r="H64" s="111"/>
      <c r="I64" s="111"/>
      <c r="J64" s="111"/>
      <c r="K64" s="111"/>
      <c r="L64" s="111"/>
      <c r="M64" s="111"/>
      <c r="N64" s="111"/>
      <c r="O64" s="111"/>
      <c r="P64" s="111"/>
      <c r="Q64" s="111"/>
      <c r="R64" s="111"/>
      <c r="S64" s="111"/>
      <c r="T64" s="111"/>
      <c r="U64" s="111"/>
      <c r="V64" s="111"/>
      <c r="W64" s="111"/>
      <c r="X64" s="111"/>
      <c r="Y64" s="111">
        <v>8</v>
      </c>
      <c r="Z64" s="111">
        <v>8</v>
      </c>
    </row>
    <row r="65" spans="1:26">
      <c r="A65" s="111" t="s">
        <v>105</v>
      </c>
      <c r="B65" s="111">
        <v>7</v>
      </c>
      <c r="C65" s="111">
        <v>7</v>
      </c>
      <c r="D65" s="111">
        <v>8</v>
      </c>
      <c r="E65" s="111">
        <v>9</v>
      </c>
      <c r="F65" s="111">
        <v>17</v>
      </c>
      <c r="G65" s="111">
        <v>1</v>
      </c>
      <c r="H65" s="111">
        <v>13</v>
      </c>
      <c r="I65" s="111">
        <v>-33</v>
      </c>
      <c r="J65" s="111">
        <v>14</v>
      </c>
      <c r="K65" s="111">
        <v>4</v>
      </c>
      <c r="L65" s="111">
        <v>16</v>
      </c>
      <c r="M65" s="111">
        <v>11</v>
      </c>
      <c r="N65" s="111">
        <v>7</v>
      </c>
      <c r="O65" s="111">
        <v>6</v>
      </c>
      <c r="P65" s="111">
        <v>7</v>
      </c>
      <c r="Q65" s="111">
        <v>9</v>
      </c>
      <c r="R65" s="111"/>
      <c r="S65" s="111">
        <v>-1</v>
      </c>
      <c r="T65" s="111">
        <v>9</v>
      </c>
      <c r="U65" s="111">
        <v>15</v>
      </c>
      <c r="V65" s="111"/>
      <c r="W65" s="111">
        <v>5</v>
      </c>
      <c r="X65" s="111">
        <v>21</v>
      </c>
      <c r="Y65" s="111">
        <v>13</v>
      </c>
      <c r="Z65" s="111">
        <v>7.5</v>
      </c>
    </row>
    <row r="66" spans="1:26">
      <c r="A66" s="111" t="s">
        <v>73</v>
      </c>
      <c r="B66" s="111">
        <v>7</v>
      </c>
      <c r="C66" s="111">
        <v>16</v>
      </c>
      <c r="D66" s="111">
        <v>9</v>
      </c>
      <c r="E66" s="111">
        <v>14</v>
      </c>
      <c r="F66" s="111">
        <v>15</v>
      </c>
      <c r="G66" s="111">
        <v>9</v>
      </c>
      <c r="H66" s="111">
        <v>2</v>
      </c>
      <c r="I66" s="111">
        <v>5</v>
      </c>
      <c r="J66" s="111">
        <v>14</v>
      </c>
      <c r="K66" s="111">
        <v>1</v>
      </c>
      <c r="L66" s="111">
        <v>10</v>
      </c>
      <c r="M66" s="111">
        <v>9</v>
      </c>
      <c r="N66" s="111">
        <v>4</v>
      </c>
      <c r="O66" s="111">
        <v>9</v>
      </c>
      <c r="P66" s="111">
        <v>6</v>
      </c>
      <c r="Q66" s="111">
        <v>6</v>
      </c>
      <c r="R66" s="111">
        <v>14</v>
      </c>
      <c r="S66" s="111">
        <v>9</v>
      </c>
      <c r="T66" s="111">
        <v>-4</v>
      </c>
      <c r="U66" s="111">
        <v>-19</v>
      </c>
      <c r="V66" s="111">
        <v>1</v>
      </c>
      <c r="W66" s="111">
        <v>11</v>
      </c>
      <c r="X66" s="111">
        <v>18</v>
      </c>
      <c r="Y66" s="111">
        <v>7</v>
      </c>
      <c r="Z66" s="111">
        <v>7.2</v>
      </c>
    </row>
    <row r="67" spans="1:26">
      <c r="A67" s="111" t="s">
        <v>71</v>
      </c>
      <c r="B67" s="111"/>
      <c r="C67" s="111"/>
      <c r="D67" s="111"/>
      <c r="E67" s="111"/>
      <c r="F67" s="111"/>
      <c r="G67" s="111"/>
      <c r="H67" s="111"/>
      <c r="I67" s="111"/>
      <c r="J67" s="111"/>
      <c r="K67" s="111"/>
      <c r="L67" s="111"/>
      <c r="M67" s="111"/>
      <c r="N67" s="111"/>
      <c r="O67" s="111"/>
      <c r="P67" s="111"/>
      <c r="Q67" s="111"/>
      <c r="R67" s="111"/>
      <c r="S67" s="111"/>
      <c r="T67" s="111">
        <v>20</v>
      </c>
      <c r="U67" s="111">
        <v>4</v>
      </c>
      <c r="V67" s="111">
        <v>9</v>
      </c>
      <c r="W67" s="111">
        <v>2</v>
      </c>
      <c r="X67" s="111">
        <v>3</v>
      </c>
      <c r="Y67" s="111">
        <v>-3</v>
      </c>
      <c r="Z67" s="111">
        <v>5.8</v>
      </c>
    </row>
    <row r="68" spans="1:26">
      <c r="A68" s="111" t="s">
        <v>66</v>
      </c>
      <c r="B68" s="111">
        <v>7</v>
      </c>
      <c r="C68" s="111">
        <v>8</v>
      </c>
      <c r="D68" s="111">
        <v>0</v>
      </c>
      <c r="E68" s="111">
        <v>5</v>
      </c>
      <c r="F68" s="111">
        <v>12</v>
      </c>
      <c r="G68" s="111">
        <v>11</v>
      </c>
      <c r="H68" s="111">
        <v>1</v>
      </c>
      <c r="I68" s="111">
        <v>-19</v>
      </c>
      <c r="J68" s="111">
        <v>16</v>
      </c>
      <c r="K68" s="111">
        <v>4</v>
      </c>
      <c r="L68" s="111">
        <v>4</v>
      </c>
      <c r="M68" s="111">
        <v>6</v>
      </c>
      <c r="N68" s="111">
        <v>7</v>
      </c>
      <c r="O68" s="111">
        <v>10</v>
      </c>
      <c r="P68" s="111">
        <v>3</v>
      </c>
      <c r="Q68" s="111">
        <v>4</v>
      </c>
      <c r="R68" s="111">
        <v>7</v>
      </c>
      <c r="S68" s="111">
        <v>6</v>
      </c>
      <c r="T68" s="111">
        <v>10</v>
      </c>
      <c r="U68" s="111">
        <v>10</v>
      </c>
      <c r="V68" s="111">
        <v>36</v>
      </c>
      <c r="W68" s="111">
        <v>-5</v>
      </c>
      <c r="X68" s="111">
        <v>-13</v>
      </c>
      <c r="Y68" s="111"/>
      <c r="Z68" s="111">
        <v>5.7</v>
      </c>
    </row>
    <row r="69" spans="1:26">
      <c r="A69" s="111" t="s">
        <v>106</v>
      </c>
      <c r="B69" s="111">
        <v>11</v>
      </c>
      <c r="C69" s="111">
        <v>-2</v>
      </c>
      <c r="D69" s="111">
        <v>4</v>
      </c>
      <c r="E69" s="111">
        <v>-17</v>
      </c>
      <c r="F69" s="111">
        <v>13</v>
      </c>
      <c r="G69" s="111">
        <v>20</v>
      </c>
      <c r="H69" s="111">
        <v>5</v>
      </c>
      <c r="I69" s="111">
        <v>2</v>
      </c>
      <c r="J69" s="111">
        <v>6</v>
      </c>
      <c r="K69" s="111">
        <v>4</v>
      </c>
      <c r="L69" s="111">
        <v>2</v>
      </c>
      <c r="M69" s="111">
        <v>-2</v>
      </c>
      <c r="N69" s="111">
        <v>0</v>
      </c>
      <c r="O69" s="111">
        <v>-18</v>
      </c>
      <c r="P69" s="111">
        <v>-2</v>
      </c>
      <c r="Q69" s="111">
        <v>4</v>
      </c>
      <c r="R69" s="111">
        <v>7</v>
      </c>
      <c r="S69" s="111">
        <v>6</v>
      </c>
      <c r="T69" s="111">
        <v>6</v>
      </c>
      <c r="U69" s="111">
        <v>7</v>
      </c>
      <c r="V69" s="111">
        <v>9</v>
      </c>
      <c r="W69" s="111">
        <v>5</v>
      </c>
      <c r="X69" s="111">
        <v>27</v>
      </c>
      <c r="Y69" s="111">
        <v>8</v>
      </c>
      <c r="Z69" s="111">
        <v>4.4000000000000004</v>
      </c>
    </row>
    <row r="70" spans="1:26">
      <c r="A70" s="111" t="s">
        <v>107</v>
      </c>
      <c r="B70" s="111">
        <v>5</v>
      </c>
      <c r="C70" s="111">
        <v>0</v>
      </c>
      <c r="D70" s="111">
        <v>8</v>
      </c>
      <c r="E70" s="111">
        <v>-19</v>
      </c>
      <c r="F70" s="111">
        <v>-9</v>
      </c>
      <c r="G70" s="111">
        <v>16</v>
      </c>
      <c r="H70" s="111">
        <v>-2</v>
      </c>
      <c r="I70" s="111">
        <v>0</v>
      </c>
      <c r="J70" s="111">
        <v>9</v>
      </c>
      <c r="K70" s="111">
        <v>7</v>
      </c>
      <c r="L70" s="111">
        <v>10</v>
      </c>
      <c r="M70" s="111">
        <v>6</v>
      </c>
      <c r="N70" s="111">
        <v>1</v>
      </c>
      <c r="O70" s="111">
        <v>8</v>
      </c>
      <c r="P70" s="111">
        <v>5</v>
      </c>
      <c r="Q70" s="111">
        <v>1</v>
      </c>
      <c r="R70" s="111">
        <v>2</v>
      </c>
      <c r="S70" s="111">
        <v>23</v>
      </c>
      <c r="T70" s="111"/>
      <c r="U70" s="111"/>
      <c r="V70" s="111"/>
      <c r="W70" s="111"/>
      <c r="X70" s="111"/>
      <c r="Y70" s="111"/>
      <c r="Z70" s="111">
        <v>3.9</v>
      </c>
    </row>
    <row r="71" spans="1:26">
      <c r="A71" s="111" t="s">
        <v>72</v>
      </c>
      <c r="B71" s="111">
        <v>6</v>
      </c>
      <c r="C71" s="111">
        <v>-20</v>
      </c>
      <c r="D71" s="111">
        <v>5</v>
      </c>
      <c r="E71" s="111">
        <v>5</v>
      </c>
      <c r="F71" s="111">
        <v>13</v>
      </c>
      <c r="G71" s="111">
        <v>15</v>
      </c>
      <c r="H71" s="111">
        <v>1</v>
      </c>
      <c r="I71" s="111">
        <v>2</v>
      </c>
      <c r="J71" s="111">
        <v>14</v>
      </c>
      <c r="K71" s="111">
        <v>7</v>
      </c>
      <c r="L71" s="111">
        <v>12</v>
      </c>
      <c r="M71" s="111">
        <v>-20</v>
      </c>
      <c r="N71" s="111">
        <v>-19</v>
      </c>
      <c r="O71" s="111">
        <v>3</v>
      </c>
      <c r="P71" s="111">
        <v>9</v>
      </c>
      <c r="Q71" s="111">
        <v>1</v>
      </c>
      <c r="R71" s="111">
        <v>-4</v>
      </c>
      <c r="S71" s="111">
        <v>4</v>
      </c>
      <c r="T71" s="111">
        <v>-1</v>
      </c>
      <c r="U71" s="111">
        <v>6</v>
      </c>
      <c r="V71" s="111">
        <v>30</v>
      </c>
      <c r="W71" s="111">
        <v>-12</v>
      </c>
      <c r="X71" s="111">
        <v>21</v>
      </c>
      <c r="Y71" s="111">
        <v>14</v>
      </c>
      <c r="Z71" s="111">
        <v>3.8</v>
      </c>
    </row>
    <row r="72" spans="1:26">
      <c r="A72" s="111" t="s">
        <v>68</v>
      </c>
      <c r="B72" s="111">
        <v>8</v>
      </c>
      <c r="C72" s="111">
        <v>-17</v>
      </c>
      <c r="D72" s="111">
        <v>16</v>
      </c>
      <c r="E72" s="111">
        <v>13</v>
      </c>
      <c r="F72" s="111">
        <v>9</v>
      </c>
      <c r="G72" s="111">
        <v>-19</v>
      </c>
      <c r="H72" s="111">
        <v>12</v>
      </c>
      <c r="I72" s="111">
        <v>2</v>
      </c>
      <c r="J72" s="111">
        <v>14</v>
      </c>
      <c r="K72" s="111">
        <v>6</v>
      </c>
      <c r="L72" s="111">
        <v>16</v>
      </c>
      <c r="M72" s="111">
        <v>12</v>
      </c>
      <c r="N72" s="111">
        <v>9</v>
      </c>
      <c r="O72" s="111">
        <v>7</v>
      </c>
      <c r="P72" s="111">
        <v>1</v>
      </c>
      <c r="Q72" s="111">
        <v>4</v>
      </c>
      <c r="R72" s="111">
        <v>-3</v>
      </c>
      <c r="S72" s="111">
        <v>4</v>
      </c>
      <c r="T72" s="111">
        <v>4</v>
      </c>
      <c r="U72" s="111">
        <v>11</v>
      </c>
      <c r="V72" s="111">
        <v>-18</v>
      </c>
      <c r="W72" s="111">
        <v>4</v>
      </c>
      <c r="X72" s="111">
        <v>-14</v>
      </c>
      <c r="Y72" s="111">
        <v>6</v>
      </c>
      <c r="Z72" s="111">
        <v>3.6</v>
      </c>
    </row>
    <row r="73" spans="1:26">
      <c r="A73" s="111" t="s">
        <v>67</v>
      </c>
      <c r="B73" s="111">
        <v>-3</v>
      </c>
      <c r="C73" s="111">
        <v>9</v>
      </c>
      <c r="D73" s="111">
        <v>11</v>
      </c>
      <c r="E73" s="111">
        <v>10</v>
      </c>
      <c r="F73" s="111">
        <v>4</v>
      </c>
      <c r="G73" s="111">
        <v>13</v>
      </c>
      <c r="H73" s="111">
        <v>3</v>
      </c>
      <c r="I73" s="111">
        <v>-32</v>
      </c>
      <c r="J73" s="111">
        <v>19</v>
      </c>
      <c r="K73" s="111">
        <v>6</v>
      </c>
      <c r="L73" s="111">
        <v>20</v>
      </c>
      <c r="M73" s="111">
        <v>14</v>
      </c>
      <c r="N73" s="111">
        <v>0</v>
      </c>
      <c r="O73" s="111">
        <v>2</v>
      </c>
      <c r="P73" s="111">
        <v>6</v>
      </c>
      <c r="Q73" s="111">
        <v>-3</v>
      </c>
      <c r="R73" s="111">
        <v>6</v>
      </c>
      <c r="S73" s="111">
        <v>6</v>
      </c>
      <c r="T73" s="111">
        <v>11</v>
      </c>
      <c r="U73" s="111">
        <v>9</v>
      </c>
      <c r="V73" s="111">
        <v>-42</v>
      </c>
      <c r="W73" s="111">
        <v>17</v>
      </c>
      <c r="X73" s="111">
        <v>-12</v>
      </c>
      <c r="Y73" s="111">
        <v>12</v>
      </c>
      <c r="Z73" s="111">
        <v>3.6</v>
      </c>
    </row>
    <row r="74" spans="1:26">
      <c r="A74" s="111" t="s">
        <v>65</v>
      </c>
      <c r="B74" s="111">
        <v>-1</v>
      </c>
      <c r="C74" s="111">
        <v>-1</v>
      </c>
      <c r="D74" s="111">
        <v>11</v>
      </c>
      <c r="E74" s="111">
        <v>10</v>
      </c>
      <c r="F74" s="111">
        <v>-6</v>
      </c>
      <c r="G74" s="111">
        <v>23</v>
      </c>
      <c r="H74" s="111">
        <v>4</v>
      </c>
      <c r="I74" s="111">
        <v>7</v>
      </c>
      <c r="J74" s="111">
        <v>0</v>
      </c>
      <c r="K74" s="111">
        <v>4</v>
      </c>
      <c r="L74" s="111">
        <v>10</v>
      </c>
      <c r="M74" s="111">
        <v>7</v>
      </c>
      <c r="N74" s="111">
        <v>4</v>
      </c>
      <c r="O74" s="111">
        <v>6</v>
      </c>
      <c r="P74" s="111">
        <v>-3</v>
      </c>
      <c r="Q74" s="111">
        <v>-17</v>
      </c>
      <c r="R74" s="111">
        <v>-19</v>
      </c>
      <c r="S74" s="111">
        <v>4</v>
      </c>
      <c r="T74" s="111">
        <v>2</v>
      </c>
      <c r="U74" s="111">
        <v>-20</v>
      </c>
      <c r="V74" s="111">
        <v>17</v>
      </c>
      <c r="W74" s="111">
        <v>9</v>
      </c>
      <c r="X74" s="111">
        <v>10</v>
      </c>
      <c r="Y74" s="111">
        <v>8</v>
      </c>
      <c r="Z74" s="111">
        <v>2.9</v>
      </c>
    </row>
    <row r="75" spans="1:26">
      <c r="A75" s="111" t="s">
        <v>108</v>
      </c>
      <c r="B75" s="111">
        <v>0</v>
      </c>
      <c r="C75" s="111">
        <v>-1</v>
      </c>
      <c r="D75" s="111">
        <v>2</v>
      </c>
      <c r="E75" s="111">
        <v>8</v>
      </c>
      <c r="F75" s="111">
        <v>-14</v>
      </c>
      <c r="G75" s="111">
        <v>10</v>
      </c>
      <c r="H75" s="111">
        <v>-2</v>
      </c>
      <c r="I75" s="111">
        <v>8</v>
      </c>
      <c r="J75" s="111">
        <v>8</v>
      </c>
      <c r="K75" s="111">
        <v>1</v>
      </c>
      <c r="L75" s="111">
        <v>8</v>
      </c>
      <c r="M75" s="111">
        <v>4</v>
      </c>
      <c r="N75" s="111">
        <v>1</v>
      </c>
      <c r="O75" s="111">
        <v>3</v>
      </c>
      <c r="P75" s="111">
        <v>1</v>
      </c>
      <c r="Q75" s="111">
        <v>6</v>
      </c>
      <c r="R75" s="111">
        <v>1</v>
      </c>
      <c r="S75" s="111">
        <v>3</v>
      </c>
      <c r="T75" s="111">
        <v>1</v>
      </c>
      <c r="U75" s="111">
        <v>2</v>
      </c>
      <c r="V75" s="111">
        <v>-2</v>
      </c>
      <c r="W75" s="111">
        <v>2</v>
      </c>
      <c r="X75" s="111">
        <v>12</v>
      </c>
      <c r="Y75" s="111">
        <v>-16</v>
      </c>
      <c r="Z75" s="111">
        <v>1.9</v>
      </c>
    </row>
    <row r="76" spans="1:26">
      <c r="A76" s="111" t="s">
        <v>75</v>
      </c>
      <c r="B76" s="111"/>
      <c r="C76" s="111"/>
      <c r="D76" s="111"/>
      <c r="E76" s="111"/>
      <c r="F76" s="111"/>
      <c r="G76" s="111"/>
      <c r="H76" s="111"/>
      <c r="I76" s="111"/>
      <c r="J76" s="111"/>
      <c r="K76" s="111"/>
      <c r="L76" s="111"/>
      <c r="M76" s="111"/>
      <c r="N76" s="111"/>
      <c r="O76" s="111"/>
      <c r="P76" s="111"/>
      <c r="Q76" s="111">
        <v>11</v>
      </c>
      <c r="R76" s="111">
        <v>9</v>
      </c>
      <c r="S76" s="111">
        <v>6</v>
      </c>
      <c r="T76" s="111">
        <v>9</v>
      </c>
      <c r="U76" s="111">
        <v>8</v>
      </c>
      <c r="V76" s="111">
        <v>-10</v>
      </c>
      <c r="W76" s="111">
        <v>10</v>
      </c>
      <c r="X76" s="111">
        <v>-16</v>
      </c>
      <c r="Y76" s="111">
        <v>-20</v>
      </c>
      <c r="Z76" s="111">
        <v>0.8</v>
      </c>
    </row>
    <row r="77" spans="1:26">
      <c r="A77" s="111" t="s">
        <v>109</v>
      </c>
      <c r="B77" s="111">
        <v>3</v>
      </c>
      <c r="C77" s="111">
        <v>7</v>
      </c>
      <c r="D77" s="111"/>
      <c r="E77" s="111">
        <v>9</v>
      </c>
      <c r="F77" s="111">
        <v>8</v>
      </c>
      <c r="G77" s="111">
        <v>-7</v>
      </c>
      <c r="H77" s="111">
        <v>-2</v>
      </c>
      <c r="I77" s="111">
        <v>1</v>
      </c>
      <c r="J77" s="111">
        <v>-19</v>
      </c>
      <c r="K77" s="111">
        <v>1</v>
      </c>
      <c r="L77" s="111">
        <v>0</v>
      </c>
      <c r="M77" s="111">
        <v>4</v>
      </c>
      <c r="N77" s="111">
        <v>1</v>
      </c>
      <c r="O77" s="111">
        <v>2</v>
      </c>
      <c r="P77" s="111">
        <v>0</v>
      </c>
      <c r="Q77" s="111"/>
      <c r="R77" s="111"/>
      <c r="S77" s="111"/>
      <c r="T77" s="111"/>
      <c r="U77" s="111"/>
      <c r="V77" s="111"/>
      <c r="W77" s="111"/>
      <c r="X77" s="111"/>
      <c r="Y77" s="111"/>
      <c r="Z77" s="111">
        <v>0.6</v>
      </c>
    </row>
    <row r="78" spans="1:26">
      <c r="A78" s="111" t="s">
        <v>64</v>
      </c>
      <c r="B78" s="111">
        <v>0</v>
      </c>
      <c r="C78" s="111">
        <v>6</v>
      </c>
      <c r="D78" s="111">
        <v>4</v>
      </c>
      <c r="E78" s="111">
        <v>-20</v>
      </c>
      <c r="F78" s="111">
        <v>11</v>
      </c>
      <c r="G78" s="111">
        <v>10</v>
      </c>
      <c r="H78" s="111">
        <v>-20</v>
      </c>
      <c r="I78" s="111">
        <v>5</v>
      </c>
      <c r="J78" s="111">
        <v>-12</v>
      </c>
      <c r="K78" s="111">
        <v>4</v>
      </c>
      <c r="L78" s="111">
        <v>12</v>
      </c>
      <c r="M78" s="111">
        <v>6</v>
      </c>
      <c r="N78" s="111">
        <v>5</v>
      </c>
      <c r="O78" s="111">
        <v>2</v>
      </c>
      <c r="P78" s="111">
        <v>-2</v>
      </c>
      <c r="Q78" s="111">
        <v>6</v>
      </c>
      <c r="R78" s="111">
        <v>12</v>
      </c>
      <c r="S78" s="111">
        <v>-16</v>
      </c>
      <c r="T78" s="111">
        <v>11</v>
      </c>
      <c r="U78" s="111">
        <v>-18</v>
      </c>
      <c r="V78" s="111">
        <v>-15</v>
      </c>
      <c r="W78" s="111">
        <v>-16</v>
      </c>
      <c r="X78" s="111">
        <v>5</v>
      </c>
      <c r="Y78" s="111">
        <v>11</v>
      </c>
      <c r="Z78" s="111">
        <v>-0.4</v>
      </c>
    </row>
    <row r="79" spans="1:26">
      <c r="A79" s="112" t="s">
        <v>55</v>
      </c>
      <c r="B79" s="111">
        <v>12.1</v>
      </c>
      <c r="C79" s="111">
        <v>9.6999999999999993</v>
      </c>
      <c r="D79" s="111">
        <v>10.3</v>
      </c>
      <c r="E79" s="111">
        <v>10.7</v>
      </c>
      <c r="F79" s="111">
        <v>17</v>
      </c>
      <c r="G79" s="111">
        <v>15.4</v>
      </c>
      <c r="H79" s="111">
        <v>10.1</v>
      </c>
      <c r="I79" s="111">
        <v>4.5</v>
      </c>
      <c r="J79" s="111">
        <v>9.3000000000000007</v>
      </c>
      <c r="K79" s="111">
        <v>13.1</v>
      </c>
      <c r="L79" s="111">
        <v>16.399999999999999</v>
      </c>
      <c r="M79" s="111">
        <v>10.4</v>
      </c>
      <c r="N79" s="111">
        <v>11.1</v>
      </c>
      <c r="O79" s="111">
        <v>10.199999999999999</v>
      </c>
      <c r="P79" s="111">
        <v>11.4</v>
      </c>
      <c r="Q79" s="111">
        <v>11.6</v>
      </c>
      <c r="R79" s="111">
        <v>10.8</v>
      </c>
      <c r="S79" s="111">
        <v>11.3</v>
      </c>
      <c r="T79" s="111">
        <v>16</v>
      </c>
      <c r="U79" s="111">
        <v>11.3</v>
      </c>
      <c r="V79" s="111">
        <v>11.3</v>
      </c>
      <c r="W79" s="111">
        <v>13.2</v>
      </c>
      <c r="X79" s="111">
        <v>12.2</v>
      </c>
      <c r="Y79" s="111">
        <v>11.5</v>
      </c>
      <c r="Z79" s="111"/>
    </row>
    <row r="80" spans="1:26" ht="18">
      <c r="A80" s="107" t="s">
        <v>102</v>
      </c>
    </row>
    <row r="81" spans="1:26" ht="18">
      <c r="A81" s="108" t="s">
        <v>29</v>
      </c>
    </row>
    <row r="82" spans="1:26">
      <c r="A82" s="110"/>
      <c r="B82" s="110"/>
      <c r="C82" s="110"/>
      <c r="D82" s="110"/>
      <c r="E82" s="110"/>
      <c r="F82" s="110"/>
      <c r="G82" s="110"/>
      <c r="H82" s="110"/>
      <c r="I82" s="110"/>
      <c r="J82" s="110"/>
      <c r="K82" s="110"/>
      <c r="L82" s="110"/>
      <c r="M82" s="110"/>
      <c r="N82" s="110"/>
      <c r="O82" s="110"/>
      <c r="P82" s="110"/>
      <c r="Q82" s="110"/>
      <c r="R82" s="110"/>
      <c r="S82" s="110"/>
      <c r="T82" s="110"/>
      <c r="U82" s="110"/>
      <c r="V82" s="110"/>
      <c r="W82" s="110"/>
      <c r="X82" s="110"/>
    </row>
    <row r="83" spans="1:26">
      <c r="A83" s="111" t="s">
        <v>79</v>
      </c>
      <c r="B83" s="111">
        <v>36</v>
      </c>
      <c r="C83" s="111">
        <v>41</v>
      </c>
      <c r="D83" s="111">
        <v>54</v>
      </c>
      <c r="E83" s="111">
        <v>39</v>
      </c>
      <c r="F83" s="111">
        <v>48</v>
      </c>
      <c r="G83" s="111">
        <v>50</v>
      </c>
      <c r="H83" s="111">
        <v>64</v>
      </c>
      <c r="I83" s="111">
        <v>56</v>
      </c>
      <c r="J83" s="111">
        <v>57</v>
      </c>
      <c r="K83" s="111">
        <v>66</v>
      </c>
      <c r="L83" s="111">
        <v>55</v>
      </c>
      <c r="M83" s="111">
        <v>59</v>
      </c>
      <c r="N83" s="111">
        <v>74</v>
      </c>
      <c r="O83" s="111">
        <v>67</v>
      </c>
      <c r="P83" s="111">
        <v>81</v>
      </c>
      <c r="Q83" s="111">
        <v>83</v>
      </c>
      <c r="R83" s="111">
        <v>85</v>
      </c>
      <c r="S83" s="111">
        <v>81</v>
      </c>
      <c r="T83" s="111">
        <v>80</v>
      </c>
      <c r="U83" s="111">
        <v>73</v>
      </c>
      <c r="V83" s="111">
        <v>50</v>
      </c>
      <c r="W83" s="111">
        <v>66</v>
      </c>
      <c r="X83" s="111">
        <v>76</v>
      </c>
      <c r="Y83" s="111">
        <v>65</v>
      </c>
      <c r="Z83" s="111">
        <v>62.8</v>
      </c>
    </row>
    <row r="84" spans="1:26">
      <c r="A84" s="111" t="s">
        <v>80</v>
      </c>
      <c r="B84" s="111">
        <v>89</v>
      </c>
      <c r="C84" s="111">
        <v>90</v>
      </c>
      <c r="D84" s="111">
        <v>32</v>
      </c>
      <c r="E84" s="111">
        <v>108</v>
      </c>
      <c r="F84" s="111">
        <v>126</v>
      </c>
      <c r="G84" s="111">
        <v>85</v>
      </c>
      <c r="H84" s="111">
        <v>61</v>
      </c>
      <c r="I84" s="111">
        <v>8</v>
      </c>
      <c r="J84" s="111">
        <v>25</v>
      </c>
      <c r="K84" s="111">
        <v>82</v>
      </c>
      <c r="L84" s="111">
        <v>56</v>
      </c>
      <c r="M84" s="111">
        <v>55</v>
      </c>
      <c r="N84" s="111">
        <v>47</v>
      </c>
      <c r="O84" s="111">
        <v>69</v>
      </c>
      <c r="P84" s="111">
        <v>52</v>
      </c>
      <c r="Q84" s="111">
        <v>40</v>
      </c>
      <c r="R84" s="111">
        <v>26</v>
      </c>
      <c r="S84" s="111">
        <v>47</v>
      </c>
      <c r="T84" s="111">
        <v>72</v>
      </c>
      <c r="U84" s="111">
        <v>41</v>
      </c>
      <c r="V84" s="111">
        <v>96</v>
      </c>
      <c r="W84" s="111">
        <v>55</v>
      </c>
      <c r="X84" s="111">
        <v>44</v>
      </c>
      <c r="Y84" s="111">
        <v>15</v>
      </c>
      <c r="Z84" s="111">
        <v>59.2</v>
      </c>
    </row>
    <row r="85" spans="1:26">
      <c r="A85" s="111" t="s">
        <v>82</v>
      </c>
      <c r="B85" s="111">
        <v>73</v>
      </c>
      <c r="C85" s="111">
        <v>58</v>
      </c>
      <c r="D85" s="111">
        <v>92</v>
      </c>
      <c r="E85" s="111">
        <v>59</v>
      </c>
      <c r="F85" s="111">
        <v>74</v>
      </c>
      <c r="G85" s="111">
        <v>79</v>
      </c>
      <c r="H85" s="111">
        <v>51</v>
      </c>
      <c r="I85" s="111">
        <v>68</v>
      </c>
      <c r="J85" s="111">
        <v>-16</v>
      </c>
      <c r="K85" s="111">
        <v>44</v>
      </c>
      <c r="L85" s="111">
        <v>69</v>
      </c>
      <c r="M85" s="111">
        <v>35</v>
      </c>
      <c r="N85" s="111">
        <v>47</v>
      </c>
      <c r="O85" s="111">
        <v>47</v>
      </c>
      <c r="P85" s="111">
        <v>59</v>
      </c>
      <c r="Q85" s="111">
        <v>65</v>
      </c>
      <c r="R85" s="111">
        <v>34</v>
      </c>
      <c r="S85" s="111">
        <v>49</v>
      </c>
      <c r="T85" s="111">
        <v>97</v>
      </c>
      <c r="U85" s="111">
        <v>82</v>
      </c>
      <c r="V85" s="111">
        <v>24</v>
      </c>
      <c r="W85" s="111">
        <v>72</v>
      </c>
      <c r="X85" s="111">
        <v>70</v>
      </c>
      <c r="Y85" s="111">
        <v>82</v>
      </c>
      <c r="Z85" s="111">
        <v>58.9</v>
      </c>
    </row>
    <row r="86" spans="1:26">
      <c r="A86" s="111" t="s">
        <v>81</v>
      </c>
      <c r="B86" s="111">
        <v>42</v>
      </c>
      <c r="C86" s="111">
        <v>36</v>
      </c>
      <c r="D86" s="111">
        <v>-17</v>
      </c>
      <c r="E86" s="111">
        <v>28</v>
      </c>
      <c r="F86" s="111">
        <v>62</v>
      </c>
      <c r="G86" s="111">
        <v>40</v>
      </c>
      <c r="H86" s="111">
        <v>54</v>
      </c>
      <c r="I86" s="111">
        <v>46</v>
      </c>
      <c r="J86" s="111">
        <v>74</v>
      </c>
      <c r="K86" s="111">
        <v>66</v>
      </c>
      <c r="L86" s="111">
        <v>76</v>
      </c>
      <c r="M86" s="111">
        <v>38</v>
      </c>
      <c r="N86" s="111">
        <v>58</v>
      </c>
      <c r="O86" s="111">
        <v>25</v>
      </c>
      <c r="P86" s="111">
        <v>39</v>
      </c>
      <c r="Q86" s="111">
        <v>49</v>
      </c>
      <c r="R86" s="111">
        <v>65</v>
      </c>
      <c r="S86" s="111">
        <v>49</v>
      </c>
      <c r="T86" s="111">
        <v>33</v>
      </c>
      <c r="U86" s="111">
        <v>54</v>
      </c>
      <c r="V86" s="111">
        <v>45</v>
      </c>
      <c r="W86" s="111">
        <v>82</v>
      </c>
      <c r="X86" s="111">
        <v>47</v>
      </c>
      <c r="Y86" s="111">
        <v>55</v>
      </c>
      <c r="Z86" s="111">
        <v>47.8</v>
      </c>
    </row>
    <row r="87" spans="1:26">
      <c r="A87" s="111" t="s">
        <v>86</v>
      </c>
      <c r="B87" s="111">
        <v>20</v>
      </c>
      <c r="C87" s="111">
        <v>9</v>
      </c>
      <c r="D87" s="111">
        <v>35</v>
      </c>
      <c r="E87" s="111">
        <v>32</v>
      </c>
      <c r="F87" s="111">
        <v>29</v>
      </c>
      <c r="G87" s="111">
        <v>-7</v>
      </c>
      <c r="H87" s="111">
        <v>15</v>
      </c>
      <c r="I87" s="111">
        <v>13</v>
      </c>
      <c r="J87" s="111">
        <v>38</v>
      </c>
      <c r="K87" s="111">
        <v>10</v>
      </c>
      <c r="L87" s="111">
        <v>27</v>
      </c>
      <c r="M87" s="111">
        <v>31</v>
      </c>
      <c r="N87" s="111">
        <v>23</v>
      </c>
      <c r="O87" s="111">
        <v>21</v>
      </c>
      <c r="P87" s="111">
        <v>17</v>
      </c>
      <c r="Q87" s="111">
        <v>11</v>
      </c>
      <c r="R87" s="111">
        <v>16</v>
      </c>
      <c r="S87" s="111">
        <v>18</v>
      </c>
      <c r="T87" s="111">
        <v>5</v>
      </c>
      <c r="U87" s="111">
        <v>-5</v>
      </c>
      <c r="V87" s="111">
        <v>-4</v>
      </c>
      <c r="W87" s="111">
        <v>14</v>
      </c>
      <c r="X87" s="111">
        <v>9</v>
      </c>
      <c r="Y87" s="111">
        <v>18</v>
      </c>
      <c r="Z87" s="111">
        <v>16.5</v>
      </c>
    </row>
    <row r="88" spans="1:26">
      <c r="A88" s="111" t="s">
        <v>84</v>
      </c>
      <c r="B88" s="111">
        <v>9</v>
      </c>
      <c r="C88" s="111">
        <v>19</v>
      </c>
      <c r="D88" s="111">
        <v>20</v>
      </c>
      <c r="E88" s="111">
        <v>20</v>
      </c>
      <c r="F88" s="111">
        <v>26</v>
      </c>
      <c r="G88" s="111">
        <v>19</v>
      </c>
      <c r="H88" s="111">
        <v>21</v>
      </c>
      <c r="I88" s="111">
        <v>-65</v>
      </c>
      <c r="J88" s="111">
        <v>34</v>
      </c>
      <c r="K88" s="111">
        <v>11</v>
      </c>
      <c r="L88" s="111">
        <v>41</v>
      </c>
      <c r="M88" s="111">
        <v>30</v>
      </c>
      <c r="N88" s="111">
        <v>10</v>
      </c>
      <c r="O88" s="111">
        <v>7</v>
      </c>
      <c r="P88" s="111">
        <v>16</v>
      </c>
      <c r="Q88" s="111">
        <v>11</v>
      </c>
      <c r="R88" s="111">
        <v>16</v>
      </c>
      <c r="S88" s="111">
        <v>10</v>
      </c>
      <c r="T88" s="111">
        <v>25</v>
      </c>
      <c r="U88" s="111">
        <v>34</v>
      </c>
      <c r="V88" s="111">
        <v>-29</v>
      </c>
      <c r="W88" s="111">
        <v>27</v>
      </c>
      <c r="X88" s="111">
        <v>14</v>
      </c>
      <c r="Y88" s="111">
        <v>30</v>
      </c>
      <c r="Z88" s="111">
        <v>14.8</v>
      </c>
    </row>
    <row r="89" spans="1:26">
      <c r="A89" s="111" t="s">
        <v>88</v>
      </c>
      <c r="B89" s="111">
        <v>12</v>
      </c>
      <c r="C89" s="111">
        <v>-13</v>
      </c>
      <c r="D89" s="111">
        <v>6</v>
      </c>
      <c r="E89" s="111">
        <v>11</v>
      </c>
      <c r="F89" s="111">
        <v>28</v>
      </c>
      <c r="G89" s="111">
        <v>29</v>
      </c>
      <c r="H89" s="111">
        <v>5</v>
      </c>
      <c r="I89" s="111">
        <v>-12</v>
      </c>
      <c r="J89" s="111">
        <v>31</v>
      </c>
      <c r="K89" s="111">
        <v>24</v>
      </c>
      <c r="L89" s="111">
        <v>21</v>
      </c>
      <c r="M89" s="111">
        <v>-12</v>
      </c>
      <c r="N89" s="111">
        <v>-10</v>
      </c>
      <c r="O89" s="111">
        <v>18</v>
      </c>
      <c r="P89" s="111">
        <v>17</v>
      </c>
      <c r="Q89" s="111">
        <v>18</v>
      </c>
      <c r="R89" s="111">
        <v>2</v>
      </c>
      <c r="S89" s="111">
        <v>11</v>
      </c>
      <c r="T89" s="111">
        <v>14</v>
      </c>
      <c r="U89" s="111">
        <v>21</v>
      </c>
      <c r="V89" s="111">
        <v>71</v>
      </c>
      <c r="W89" s="111">
        <v>-12</v>
      </c>
      <c r="X89" s="111">
        <v>9</v>
      </c>
      <c r="Y89" s="111">
        <v>27</v>
      </c>
      <c r="Z89" s="111">
        <v>13.2</v>
      </c>
    </row>
    <row r="90" spans="1:26">
      <c r="A90" s="111" t="s">
        <v>85</v>
      </c>
      <c r="B90" s="111">
        <v>7</v>
      </c>
      <c r="C90" s="111">
        <v>4</v>
      </c>
      <c r="D90" s="111">
        <v>24</v>
      </c>
      <c r="E90" s="111">
        <v>-4</v>
      </c>
      <c r="F90" s="111">
        <v>-14</v>
      </c>
      <c r="G90" s="111">
        <v>44</v>
      </c>
      <c r="H90" s="111">
        <v>12</v>
      </c>
      <c r="I90" s="111">
        <v>12</v>
      </c>
      <c r="J90" s="111">
        <v>19</v>
      </c>
      <c r="K90" s="111">
        <v>10</v>
      </c>
      <c r="L90" s="111">
        <v>23</v>
      </c>
      <c r="M90" s="111">
        <v>16</v>
      </c>
      <c r="N90" s="111">
        <v>25</v>
      </c>
      <c r="O90" s="111">
        <v>18</v>
      </c>
      <c r="P90" s="111">
        <v>15</v>
      </c>
      <c r="Q90" s="111">
        <v>-15</v>
      </c>
      <c r="R90" s="111">
        <v>-14</v>
      </c>
      <c r="S90" s="111">
        <v>22</v>
      </c>
      <c r="T90" s="111">
        <v>28</v>
      </c>
      <c r="U90" s="111">
        <v>-13</v>
      </c>
      <c r="V90" s="111">
        <v>36</v>
      </c>
      <c r="W90" s="111">
        <v>16</v>
      </c>
      <c r="X90" s="111">
        <v>14</v>
      </c>
      <c r="Y90" s="111">
        <v>11</v>
      </c>
      <c r="Z90" s="111">
        <v>12.3</v>
      </c>
    </row>
    <row r="91" spans="1:26">
      <c r="A91" s="111" t="s">
        <v>87</v>
      </c>
      <c r="B91" s="111">
        <v>10</v>
      </c>
      <c r="C91" s="111">
        <v>-4</v>
      </c>
      <c r="D91" s="111">
        <v>7</v>
      </c>
      <c r="E91" s="111">
        <v>-8</v>
      </c>
      <c r="F91" s="111">
        <v>4</v>
      </c>
      <c r="G91" s="111">
        <v>29</v>
      </c>
      <c r="H91" s="111">
        <v>2</v>
      </c>
      <c r="I91" s="111">
        <v>12</v>
      </c>
      <c r="J91" s="111">
        <v>13</v>
      </c>
      <c r="K91" s="111">
        <v>8</v>
      </c>
      <c r="L91" s="111">
        <v>9</v>
      </c>
      <c r="M91" s="111">
        <v>3</v>
      </c>
      <c r="N91" s="111">
        <v>2</v>
      </c>
      <c r="O91" s="111">
        <v>-14</v>
      </c>
      <c r="P91" s="111">
        <v>-2</v>
      </c>
      <c r="Q91" s="111">
        <v>9</v>
      </c>
      <c r="R91" s="111">
        <v>17</v>
      </c>
      <c r="S91" s="111">
        <v>8</v>
      </c>
      <c r="T91" s="111">
        <v>6</v>
      </c>
      <c r="U91" s="111">
        <v>10</v>
      </c>
      <c r="V91" s="111">
        <v>18</v>
      </c>
      <c r="W91" s="111">
        <v>8</v>
      </c>
      <c r="X91" s="111">
        <v>35</v>
      </c>
      <c r="Y91" s="111">
        <v>-3</v>
      </c>
      <c r="Z91" s="111">
        <v>7.5</v>
      </c>
    </row>
    <row r="92" spans="1:26">
      <c r="A92" s="111" t="s">
        <v>83</v>
      </c>
      <c r="B92" s="111">
        <v>4</v>
      </c>
      <c r="C92" s="111">
        <v>14</v>
      </c>
      <c r="D92" s="111">
        <v>5</v>
      </c>
      <c r="E92" s="111">
        <v>-10</v>
      </c>
      <c r="F92" s="111">
        <v>20</v>
      </c>
      <c r="G92" s="111">
        <v>4</v>
      </c>
      <c r="H92" s="111">
        <v>-21</v>
      </c>
      <c r="I92" s="111">
        <v>11</v>
      </c>
      <c r="J92" s="111">
        <v>-26</v>
      </c>
      <c r="K92" s="111">
        <v>4</v>
      </c>
      <c r="L92" s="111">
        <v>11</v>
      </c>
      <c r="M92" s="111">
        <v>15</v>
      </c>
      <c r="N92" s="111">
        <v>9</v>
      </c>
      <c r="O92" s="111">
        <v>5</v>
      </c>
      <c r="P92" s="111">
        <v>-2</v>
      </c>
      <c r="Q92" s="111">
        <v>22</v>
      </c>
      <c r="R92" s="111">
        <v>31</v>
      </c>
      <c r="S92" s="111">
        <v>-7</v>
      </c>
      <c r="T92" s="111">
        <v>19</v>
      </c>
      <c r="U92" s="111">
        <v>-5</v>
      </c>
      <c r="V92" s="111">
        <v>-20</v>
      </c>
      <c r="W92" s="111">
        <v>-5</v>
      </c>
      <c r="X92" s="111">
        <v>-12</v>
      </c>
      <c r="Y92" s="111">
        <v>-10</v>
      </c>
      <c r="Z92" s="111">
        <v>2.2999999999999998</v>
      </c>
    </row>
    <row r="93" spans="1:26">
      <c r="A93" s="112" t="s">
        <v>55</v>
      </c>
      <c r="B93" s="111">
        <v>30.2</v>
      </c>
      <c r="C93" s="111">
        <v>25.4</v>
      </c>
      <c r="D93" s="111">
        <v>25.8</v>
      </c>
      <c r="E93" s="111">
        <v>27.5</v>
      </c>
      <c r="F93" s="111">
        <v>40.299999999999997</v>
      </c>
      <c r="G93" s="111">
        <v>37.200000000000003</v>
      </c>
      <c r="H93" s="111">
        <v>26.4</v>
      </c>
      <c r="I93" s="111">
        <v>14.9</v>
      </c>
      <c r="J93" s="111">
        <v>24.9</v>
      </c>
      <c r="K93" s="111">
        <v>32.5</v>
      </c>
      <c r="L93" s="111">
        <v>38.799999999999997</v>
      </c>
      <c r="M93" s="111">
        <v>27</v>
      </c>
      <c r="N93" s="111">
        <v>28.5</v>
      </c>
      <c r="O93" s="111">
        <v>26.3</v>
      </c>
      <c r="P93" s="111">
        <v>29.2</v>
      </c>
      <c r="Q93" s="111">
        <v>29.3</v>
      </c>
      <c r="R93" s="111">
        <v>27.8</v>
      </c>
      <c r="S93" s="111">
        <v>28.8</v>
      </c>
      <c r="T93" s="111">
        <v>37.9</v>
      </c>
      <c r="U93" s="111">
        <v>29.2</v>
      </c>
      <c r="V93" s="111">
        <v>28.7</v>
      </c>
      <c r="W93" s="111">
        <v>32.299999999999997</v>
      </c>
      <c r="X93" s="111">
        <v>30.6</v>
      </c>
      <c r="Y93" s="111">
        <v>29</v>
      </c>
      <c r="Z93" s="111"/>
    </row>
    <row r="94" spans="1:26" ht="23">
      <c r="A94" s="113" t="s">
        <v>89</v>
      </c>
    </row>
    <row r="95" spans="1:26" ht="18">
      <c r="A95" s="114" t="s">
        <v>90</v>
      </c>
    </row>
    <row r="96" spans="1:26" ht="18">
      <c r="A96" s="107" t="s">
        <v>91</v>
      </c>
    </row>
    <row r="97" spans="1:1" ht="18">
      <c r="A97" s="114" t="s">
        <v>92</v>
      </c>
    </row>
    <row r="98" spans="1:1" ht="18">
      <c r="A98" s="107" t="s">
        <v>93</v>
      </c>
    </row>
    <row r="99" spans="1:1" ht="18">
      <c r="A99" s="114" t="s">
        <v>94</v>
      </c>
    </row>
    <row r="100" spans="1:1" ht="18">
      <c r="A100" s="107" t="s">
        <v>103</v>
      </c>
    </row>
    <row r="101" spans="1:1">
      <c r="A101" s="2" t="s">
        <v>104</v>
      </c>
    </row>
    <row r="102" spans="1:1">
      <c r="A102" t="s">
        <v>98</v>
      </c>
    </row>
  </sheetData>
  <hyperlinks>
    <hyperlink ref="A1" r:id="rId1" display="https://f1fantasytools.com/team-calculator" xr:uid="{00000000-0004-0000-0700-000000000000}"/>
    <hyperlink ref="A2" r:id="rId2" display="https://f1fantasytools.com/budget-builder" xr:uid="{00000000-0004-0000-0700-000001000000}"/>
    <hyperlink ref="A3" r:id="rId3" display="https://f1fantasytools.com/live" xr:uid="{00000000-0004-0000-0700-000002000000}"/>
    <hyperlink ref="A4" r:id="rId4" display="https://f1fantasytools.com/season-summary" xr:uid="{00000000-0004-0000-0700-000003000000}"/>
    <hyperlink ref="A5" r:id="rId5" display="https://f1fantasytools.com/elite-data" xr:uid="{00000000-0004-0000-0700-000004000000}"/>
    <hyperlink ref="A6" r:id="rId6" display="https://f1fantasytools.com/statistics" xr:uid="{00000000-0004-0000-0700-000005000000}"/>
    <hyperlink ref="A7" r:id="rId7" display="https://f1fantasytools.com/team-analyzer" xr:uid="{00000000-0004-0000-0700-000006000000}"/>
    <hyperlink ref="A8" r:id="rId8" display="https://f1fantasytools.com/league-analyzer" xr:uid="{00000000-0004-0000-0700-000007000000}"/>
    <hyperlink ref="A9" r:id="rId9" display="https://f1fantasytools.com/hindsight" xr:uid="{00000000-0004-0000-0700-000008000000}"/>
    <hyperlink ref="A12" r:id="rId10" display="https://f1fantasytools.com/pricing" xr:uid="{00000000-0004-0000-0700-000009000000}"/>
    <hyperlink ref="A13" r:id="rId11" display="https://f1fantasytools.com/pricing" xr:uid="{00000000-0004-0000-0700-00000A000000}"/>
    <hyperlink ref="A14" r:id="rId12" display="https://f1fantasytools.com/login" xr:uid="{00000000-0004-0000-0700-00000B000000}"/>
    <hyperlink ref="A24" r:id="rId13" display="https://f1fantasytools.com/team-calculator" xr:uid="{00000000-0004-0000-0700-00000C000000}"/>
    <hyperlink ref="A25" r:id="rId14" display="https://f1fantasytools.com/budget-builder" xr:uid="{00000000-0004-0000-0700-00000D000000}"/>
    <hyperlink ref="A26" r:id="rId15" display="https://f1fantasytools.com/live" xr:uid="{00000000-0004-0000-0700-00000E000000}"/>
    <hyperlink ref="A27" r:id="rId16" display="https://f1fantasytools.com/season-summary" xr:uid="{00000000-0004-0000-0700-00000F000000}"/>
    <hyperlink ref="A28" r:id="rId17" display="https://f1fantasytools.com/elite-data" xr:uid="{00000000-0004-0000-0700-000010000000}"/>
    <hyperlink ref="A29" r:id="rId18" display="https://f1fantasytools.com/statistics" xr:uid="{00000000-0004-0000-0700-000011000000}"/>
    <hyperlink ref="A30" r:id="rId19" display="https://f1fantasytools.com/team-analyzer" xr:uid="{00000000-0004-0000-0700-000012000000}"/>
    <hyperlink ref="A31" r:id="rId20" display="https://f1fantasytools.com/league-analyzer" xr:uid="{00000000-0004-0000-0700-000013000000}"/>
    <hyperlink ref="A32" r:id="rId21" display="https://f1fantasytools.com/hindsight" xr:uid="{00000000-0004-0000-0700-000014000000}"/>
    <hyperlink ref="A35" r:id="rId22" display="https://f1fantasytools.com/pricing" xr:uid="{00000000-0004-0000-0700-000015000000}"/>
    <hyperlink ref="A36" r:id="rId23" display="https://f1fantasytools.com/pricing" xr:uid="{00000000-0004-0000-0700-000016000000}"/>
    <hyperlink ref="A37" r:id="rId24" display="https://f1fantasytools.com/login" xr:uid="{00000000-0004-0000-0700-000017000000}"/>
    <hyperlink ref="A101" r:id="rId25" display="https://f1fantasytools.com/legal" xr:uid="{00000000-0004-0000-0700-000018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CD0981-BF48-844E-8E0D-C24963BF5C29}">
  <sheetPr>
    <tabColor theme="8"/>
  </sheetPr>
  <dimension ref="A1:Y24"/>
  <sheetViews>
    <sheetView workbookViewId="0">
      <selection activeCell="A2" sqref="A2:A24"/>
    </sheetView>
  </sheetViews>
  <sheetFormatPr baseColWidth="10" defaultRowHeight="16"/>
  <sheetData>
    <row r="1" spans="1:25">
      <c r="B1">
        <v>1</v>
      </c>
      <c r="C1">
        <v>2</v>
      </c>
      <c r="D1">
        <v>3</v>
      </c>
      <c r="E1">
        <v>4</v>
      </c>
      <c r="F1">
        <v>5</v>
      </c>
      <c r="G1">
        <v>6</v>
      </c>
      <c r="H1">
        <v>7</v>
      </c>
      <c r="I1">
        <v>8</v>
      </c>
      <c r="J1">
        <v>9</v>
      </c>
      <c r="K1">
        <v>10</v>
      </c>
      <c r="L1">
        <v>11</v>
      </c>
      <c r="M1">
        <v>12</v>
      </c>
      <c r="N1">
        <v>13</v>
      </c>
      <c r="O1">
        <v>14</v>
      </c>
      <c r="P1">
        <v>15</v>
      </c>
      <c r="Q1">
        <v>16</v>
      </c>
      <c r="R1">
        <v>17</v>
      </c>
      <c r="S1">
        <v>18</v>
      </c>
      <c r="T1">
        <v>19</v>
      </c>
      <c r="U1">
        <v>20</v>
      </c>
      <c r="V1">
        <v>21</v>
      </c>
      <c r="W1">
        <v>22</v>
      </c>
      <c r="X1">
        <v>23</v>
      </c>
      <c r="Y1">
        <v>24</v>
      </c>
    </row>
    <row r="2" spans="1:25">
      <c r="A2" t="s">
        <v>56</v>
      </c>
      <c r="B2" t="s">
        <v>120</v>
      </c>
      <c r="C2" t="s">
        <v>120</v>
      </c>
      <c r="D2" t="s">
        <v>120</v>
      </c>
      <c r="E2" t="s">
        <v>120</v>
      </c>
      <c r="F2" t="s">
        <v>120</v>
      </c>
      <c r="G2" t="s">
        <v>120</v>
      </c>
      <c r="H2" t="s">
        <v>120</v>
      </c>
      <c r="I2" t="s">
        <v>120</v>
      </c>
      <c r="J2" t="s">
        <v>120</v>
      </c>
      <c r="K2" t="s">
        <v>120</v>
      </c>
      <c r="L2" t="s">
        <v>120</v>
      </c>
      <c r="M2" t="s">
        <v>120</v>
      </c>
      <c r="N2" t="s">
        <v>120</v>
      </c>
      <c r="O2" t="s">
        <v>120</v>
      </c>
      <c r="P2" t="s">
        <v>120</v>
      </c>
      <c r="Q2" t="s">
        <v>120</v>
      </c>
      <c r="R2" t="s">
        <v>120</v>
      </c>
      <c r="S2" t="s">
        <v>120</v>
      </c>
      <c r="T2" t="s">
        <v>120</v>
      </c>
      <c r="U2" t="s">
        <v>120</v>
      </c>
      <c r="V2" t="s">
        <v>120</v>
      </c>
      <c r="W2" t="s">
        <v>120</v>
      </c>
      <c r="X2" t="s">
        <v>120</v>
      </c>
      <c r="Y2" t="s">
        <v>120</v>
      </c>
    </row>
    <row r="3" spans="1:25">
      <c r="A3" t="s">
        <v>110</v>
      </c>
      <c r="B3" t="s">
        <v>120</v>
      </c>
      <c r="C3" t="s">
        <v>120</v>
      </c>
      <c r="D3" t="s">
        <v>120</v>
      </c>
      <c r="E3" t="s">
        <v>120</v>
      </c>
      <c r="F3" t="s">
        <v>120</v>
      </c>
      <c r="G3" t="s">
        <v>120</v>
      </c>
      <c r="H3" t="s">
        <v>120</v>
      </c>
      <c r="I3" t="s">
        <v>120</v>
      </c>
      <c r="J3" t="s">
        <v>120</v>
      </c>
      <c r="K3" t="s">
        <v>120</v>
      </c>
      <c r="L3" t="s">
        <v>120</v>
      </c>
      <c r="M3" t="s">
        <v>120</v>
      </c>
      <c r="N3" t="s">
        <v>120</v>
      </c>
      <c r="O3" t="s">
        <v>120</v>
      </c>
      <c r="P3" t="s">
        <v>120</v>
      </c>
      <c r="Q3" t="s">
        <v>120</v>
      </c>
      <c r="R3" t="s">
        <v>120</v>
      </c>
      <c r="S3" t="s">
        <v>120</v>
      </c>
      <c r="T3" t="s">
        <v>120</v>
      </c>
      <c r="U3" t="s">
        <v>120</v>
      </c>
      <c r="V3" t="s">
        <v>120</v>
      </c>
      <c r="W3" t="s">
        <v>120</v>
      </c>
      <c r="X3" t="s">
        <v>120</v>
      </c>
      <c r="Y3" t="s">
        <v>120</v>
      </c>
    </row>
    <row r="4" spans="1:25">
      <c r="A4" t="s">
        <v>57</v>
      </c>
      <c r="B4" t="s">
        <v>79</v>
      </c>
      <c r="C4" t="s">
        <v>79</v>
      </c>
      <c r="D4" t="s">
        <v>79</v>
      </c>
      <c r="E4" t="s">
        <v>79</v>
      </c>
      <c r="F4" t="s">
        <v>79</v>
      </c>
      <c r="G4" t="s">
        <v>79</v>
      </c>
      <c r="H4" t="s">
        <v>79</v>
      </c>
      <c r="I4" t="s">
        <v>79</v>
      </c>
      <c r="J4" t="s">
        <v>79</v>
      </c>
      <c r="K4" t="s">
        <v>79</v>
      </c>
      <c r="L4" t="s">
        <v>79</v>
      </c>
      <c r="M4" t="s">
        <v>79</v>
      </c>
      <c r="N4" t="s">
        <v>79</v>
      </c>
      <c r="O4" t="s">
        <v>79</v>
      </c>
      <c r="P4" t="s">
        <v>79</v>
      </c>
      <c r="Q4" t="s">
        <v>79</v>
      </c>
      <c r="R4" t="s">
        <v>79</v>
      </c>
      <c r="S4" t="s">
        <v>79</v>
      </c>
      <c r="T4" t="s">
        <v>79</v>
      </c>
      <c r="U4" t="s">
        <v>79</v>
      </c>
      <c r="V4" t="s">
        <v>79</v>
      </c>
      <c r="W4" t="s">
        <v>79</v>
      </c>
      <c r="X4" t="s">
        <v>79</v>
      </c>
      <c r="Y4" t="s">
        <v>79</v>
      </c>
    </row>
    <row r="5" spans="1:25">
      <c r="A5" t="s">
        <v>58</v>
      </c>
      <c r="B5" t="s">
        <v>79</v>
      </c>
      <c r="C5" t="s">
        <v>79</v>
      </c>
      <c r="D5" t="s">
        <v>79</v>
      </c>
      <c r="E5" t="s">
        <v>79</v>
      </c>
      <c r="F5" t="s">
        <v>79</v>
      </c>
      <c r="G5" t="s">
        <v>79</v>
      </c>
      <c r="H5" t="s">
        <v>79</v>
      </c>
      <c r="I5" t="s">
        <v>79</v>
      </c>
      <c r="J5" t="s">
        <v>79</v>
      </c>
      <c r="K5" t="s">
        <v>79</v>
      </c>
      <c r="L5" t="s">
        <v>79</v>
      </c>
      <c r="M5" t="s">
        <v>79</v>
      </c>
      <c r="N5" t="s">
        <v>79</v>
      </c>
      <c r="O5" t="s">
        <v>79</v>
      </c>
      <c r="P5" t="s">
        <v>79</v>
      </c>
      <c r="Q5" t="s">
        <v>79</v>
      </c>
      <c r="R5" t="s">
        <v>79</v>
      </c>
      <c r="S5" t="s">
        <v>79</v>
      </c>
      <c r="T5" t="s">
        <v>79</v>
      </c>
      <c r="U5" t="s">
        <v>79</v>
      </c>
      <c r="V5" t="s">
        <v>79</v>
      </c>
      <c r="W5" t="s">
        <v>79</v>
      </c>
      <c r="X5" t="s">
        <v>79</v>
      </c>
      <c r="Y5" t="s">
        <v>79</v>
      </c>
    </row>
    <row r="6" spans="1:25">
      <c r="A6" t="s">
        <v>61</v>
      </c>
      <c r="B6" t="s">
        <v>81</v>
      </c>
      <c r="C6" t="s">
        <v>81</v>
      </c>
      <c r="D6" t="s">
        <v>81</v>
      </c>
      <c r="E6" t="s">
        <v>81</v>
      </c>
      <c r="F6" t="s">
        <v>81</v>
      </c>
      <c r="G6" t="s">
        <v>81</v>
      </c>
      <c r="H6" t="s">
        <v>81</v>
      </c>
      <c r="I6" t="s">
        <v>81</v>
      </c>
      <c r="J6" t="s">
        <v>81</v>
      </c>
      <c r="K6" t="s">
        <v>81</v>
      </c>
      <c r="L6" t="s">
        <v>81</v>
      </c>
      <c r="M6" t="s">
        <v>81</v>
      </c>
      <c r="N6" t="s">
        <v>81</v>
      </c>
      <c r="O6" t="s">
        <v>81</v>
      </c>
      <c r="P6" t="s">
        <v>81</v>
      </c>
      <c r="Q6" t="s">
        <v>81</v>
      </c>
      <c r="R6" t="s">
        <v>81</v>
      </c>
      <c r="S6" t="s">
        <v>81</v>
      </c>
      <c r="T6" t="s">
        <v>81</v>
      </c>
      <c r="U6" t="s">
        <v>81</v>
      </c>
      <c r="V6" t="s">
        <v>81</v>
      </c>
      <c r="W6" t="s">
        <v>81</v>
      </c>
      <c r="X6" t="s">
        <v>81</v>
      </c>
      <c r="Y6" t="s">
        <v>81</v>
      </c>
    </row>
    <row r="7" spans="1:25">
      <c r="A7" t="s">
        <v>59</v>
      </c>
      <c r="B7" t="s">
        <v>81</v>
      </c>
      <c r="C7" t="s">
        <v>81</v>
      </c>
      <c r="D7" t="s">
        <v>81</v>
      </c>
      <c r="E7" t="s">
        <v>81</v>
      </c>
      <c r="F7" t="s">
        <v>81</v>
      </c>
      <c r="G7" t="s">
        <v>81</v>
      </c>
      <c r="H7" t="s">
        <v>81</v>
      </c>
      <c r="I7" t="s">
        <v>81</v>
      </c>
      <c r="J7" t="s">
        <v>81</v>
      </c>
      <c r="K7" t="s">
        <v>81</v>
      </c>
      <c r="L7" t="s">
        <v>81</v>
      </c>
      <c r="M7" t="s">
        <v>81</v>
      </c>
      <c r="N7" t="s">
        <v>81</v>
      </c>
      <c r="O7" t="s">
        <v>81</v>
      </c>
      <c r="P7" t="s">
        <v>81</v>
      </c>
      <c r="Q7" t="s">
        <v>81</v>
      </c>
      <c r="R7" t="s">
        <v>81</v>
      </c>
      <c r="S7" t="s">
        <v>81</v>
      </c>
      <c r="T7" t="s">
        <v>81</v>
      </c>
      <c r="U7" t="s">
        <v>81</v>
      </c>
      <c r="V7" t="s">
        <v>81</v>
      </c>
      <c r="W7" t="s">
        <v>81</v>
      </c>
      <c r="X7" t="s">
        <v>81</v>
      </c>
      <c r="Y7" t="s">
        <v>81</v>
      </c>
    </row>
    <row r="8" spans="1:25">
      <c r="A8" t="s">
        <v>60</v>
      </c>
      <c r="B8" t="s">
        <v>82</v>
      </c>
      <c r="C8" t="s">
        <v>82</v>
      </c>
      <c r="D8" t="s">
        <v>82</v>
      </c>
      <c r="E8" t="s">
        <v>82</v>
      </c>
      <c r="F8" t="s">
        <v>82</v>
      </c>
      <c r="G8" t="s">
        <v>82</v>
      </c>
      <c r="H8" t="s">
        <v>82</v>
      </c>
      <c r="I8" t="s">
        <v>82</v>
      </c>
      <c r="J8" t="s">
        <v>82</v>
      </c>
      <c r="K8" t="s">
        <v>82</v>
      </c>
      <c r="L8" t="s">
        <v>82</v>
      </c>
      <c r="M8" t="s">
        <v>82</v>
      </c>
      <c r="N8" t="s">
        <v>82</v>
      </c>
      <c r="O8" t="s">
        <v>82</v>
      </c>
      <c r="P8" t="s">
        <v>82</v>
      </c>
      <c r="Q8" t="s">
        <v>82</v>
      </c>
      <c r="R8" t="s">
        <v>82</v>
      </c>
      <c r="S8" t="s">
        <v>82</v>
      </c>
      <c r="T8" t="s">
        <v>82</v>
      </c>
      <c r="U8" t="s">
        <v>82</v>
      </c>
      <c r="V8" t="s">
        <v>82</v>
      </c>
      <c r="W8" t="s">
        <v>82</v>
      </c>
      <c r="X8" t="s">
        <v>82</v>
      </c>
      <c r="Y8" t="s">
        <v>82</v>
      </c>
    </row>
    <row r="9" spans="1:25">
      <c r="A9" t="s">
        <v>69</v>
      </c>
      <c r="B9" t="s">
        <v>82</v>
      </c>
      <c r="D9" t="s">
        <v>82</v>
      </c>
      <c r="E9" t="s">
        <v>82</v>
      </c>
      <c r="F9" t="s">
        <v>82</v>
      </c>
      <c r="G9" t="s">
        <v>82</v>
      </c>
      <c r="H9" t="s">
        <v>82</v>
      </c>
      <c r="I9" t="s">
        <v>82</v>
      </c>
      <c r="J9" t="s">
        <v>82</v>
      </c>
      <c r="K9" t="s">
        <v>82</v>
      </c>
      <c r="L9" t="s">
        <v>82</v>
      </c>
      <c r="M9" t="s">
        <v>82</v>
      </c>
      <c r="N9" t="s">
        <v>82</v>
      </c>
      <c r="O9" t="s">
        <v>82</v>
      </c>
      <c r="P9" t="s">
        <v>82</v>
      </c>
      <c r="Q9" t="s">
        <v>82</v>
      </c>
      <c r="R9" t="s">
        <v>82</v>
      </c>
      <c r="S9" t="s">
        <v>82</v>
      </c>
      <c r="T9" t="s">
        <v>82</v>
      </c>
      <c r="U9" t="s">
        <v>82</v>
      </c>
      <c r="V9" t="s">
        <v>82</v>
      </c>
      <c r="W9" t="s">
        <v>82</v>
      </c>
      <c r="X9" t="s">
        <v>82</v>
      </c>
      <c r="Y9" t="s">
        <v>82</v>
      </c>
    </row>
    <row r="10" spans="1:25">
      <c r="A10" t="s">
        <v>63</v>
      </c>
      <c r="C10" t="s">
        <v>82</v>
      </c>
      <c r="R10" t="s">
        <v>123</v>
      </c>
      <c r="V10" t="s">
        <v>123</v>
      </c>
    </row>
    <row r="11" spans="1:25">
      <c r="A11" t="s">
        <v>73</v>
      </c>
      <c r="B11" t="s">
        <v>121</v>
      </c>
      <c r="C11" t="s">
        <v>121</v>
      </c>
      <c r="D11" t="s">
        <v>121</v>
      </c>
      <c r="E11" t="s">
        <v>121</v>
      </c>
      <c r="F11" t="s">
        <v>121</v>
      </c>
      <c r="G11" t="s">
        <v>121</v>
      </c>
      <c r="H11" t="s">
        <v>121</v>
      </c>
      <c r="I11" t="s">
        <v>121</v>
      </c>
      <c r="J11" t="s">
        <v>121</v>
      </c>
      <c r="K11" t="s">
        <v>121</v>
      </c>
      <c r="L11" t="s">
        <v>121</v>
      </c>
      <c r="M11" t="s">
        <v>121</v>
      </c>
      <c r="N11" t="s">
        <v>121</v>
      </c>
      <c r="O11" t="s">
        <v>121</v>
      </c>
      <c r="P11" t="s">
        <v>121</v>
      </c>
      <c r="Q11" t="s">
        <v>121</v>
      </c>
      <c r="R11" t="s">
        <v>121</v>
      </c>
      <c r="S11" t="s">
        <v>121</v>
      </c>
      <c r="T11" t="s">
        <v>121</v>
      </c>
      <c r="U11" t="s">
        <v>121</v>
      </c>
      <c r="V11" t="s">
        <v>121</v>
      </c>
      <c r="W11" t="s">
        <v>121</v>
      </c>
      <c r="X11" t="s">
        <v>121</v>
      </c>
      <c r="Y11" t="s">
        <v>121</v>
      </c>
    </row>
    <row r="12" spans="1:25">
      <c r="A12" t="s">
        <v>68</v>
      </c>
      <c r="B12" t="s">
        <v>121</v>
      </c>
      <c r="C12" t="s">
        <v>121</v>
      </c>
      <c r="D12" t="s">
        <v>121</v>
      </c>
      <c r="E12" t="s">
        <v>121</v>
      </c>
      <c r="F12" t="s">
        <v>121</v>
      </c>
      <c r="G12" t="s">
        <v>121</v>
      </c>
      <c r="H12" t="s">
        <v>121</v>
      </c>
      <c r="I12" t="s">
        <v>121</v>
      </c>
      <c r="J12" t="s">
        <v>121</v>
      </c>
      <c r="K12" t="s">
        <v>121</v>
      </c>
      <c r="L12" t="s">
        <v>121</v>
      </c>
      <c r="M12" t="s">
        <v>121</v>
      </c>
      <c r="N12" t="s">
        <v>121</v>
      </c>
      <c r="O12" t="s">
        <v>121</v>
      </c>
      <c r="P12" t="s">
        <v>121</v>
      </c>
      <c r="Q12" t="s">
        <v>121</v>
      </c>
      <c r="R12" t="s">
        <v>121</v>
      </c>
      <c r="S12" t="s">
        <v>121</v>
      </c>
      <c r="T12" t="s">
        <v>121</v>
      </c>
      <c r="U12" t="s">
        <v>121</v>
      </c>
      <c r="V12" t="s">
        <v>121</v>
      </c>
      <c r="W12" t="s">
        <v>121</v>
      </c>
      <c r="X12" t="s">
        <v>121</v>
      </c>
      <c r="Y12" t="s">
        <v>121</v>
      </c>
    </row>
    <row r="13" spans="1:25">
      <c r="A13" t="s">
        <v>66</v>
      </c>
      <c r="B13" t="s">
        <v>88</v>
      </c>
      <c r="C13" t="s">
        <v>88</v>
      </c>
      <c r="D13" t="s">
        <v>88</v>
      </c>
      <c r="E13" t="s">
        <v>88</v>
      </c>
      <c r="F13" t="s">
        <v>88</v>
      </c>
      <c r="G13" t="s">
        <v>88</v>
      </c>
      <c r="H13" t="s">
        <v>88</v>
      </c>
      <c r="I13" t="s">
        <v>88</v>
      </c>
      <c r="J13" t="s">
        <v>88</v>
      </c>
      <c r="K13" t="s">
        <v>88</v>
      </c>
      <c r="L13" t="s">
        <v>88</v>
      </c>
      <c r="M13" t="s">
        <v>88</v>
      </c>
      <c r="N13" t="s">
        <v>88</v>
      </c>
      <c r="O13" t="s">
        <v>88</v>
      </c>
      <c r="P13" t="s">
        <v>88</v>
      </c>
      <c r="Q13" t="s">
        <v>88</v>
      </c>
      <c r="R13" t="s">
        <v>88</v>
      </c>
      <c r="S13" t="s">
        <v>88</v>
      </c>
      <c r="T13" t="s">
        <v>88</v>
      </c>
      <c r="U13" t="s">
        <v>88</v>
      </c>
      <c r="V13" t="s">
        <v>88</v>
      </c>
      <c r="W13" t="s">
        <v>88</v>
      </c>
      <c r="X13" t="s">
        <v>88</v>
      </c>
      <c r="Y13" t="s">
        <v>88</v>
      </c>
    </row>
    <row r="14" spans="1:25">
      <c r="A14" t="s">
        <v>72</v>
      </c>
      <c r="B14" t="s">
        <v>88</v>
      </c>
      <c r="C14" t="s">
        <v>88</v>
      </c>
      <c r="D14" t="s">
        <v>88</v>
      </c>
      <c r="E14" t="s">
        <v>88</v>
      </c>
      <c r="F14" t="s">
        <v>88</v>
      </c>
      <c r="G14" t="s">
        <v>88</v>
      </c>
      <c r="H14" t="s">
        <v>88</v>
      </c>
      <c r="I14" t="s">
        <v>88</v>
      </c>
      <c r="J14" t="s">
        <v>88</v>
      </c>
      <c r="K14" t="s">
        <v>88</v>
      </c>
      <c r="L14" t="s">
        <v>88</v>
      </c>
      <c r="M14" t="s">
        <v>88</v>
      </c>
      <c r="N14" t="s">
        <v>88</v>
      </c>
      <c r="O14" t="s">
        <v>88</v>
      </c>
      <c r="P14" t="s">
        <v>88</v>
      </c>
      <c r="Q14" t="s">
        <v>88</v>
      </c>
      <c r="R14" t="s">
        <v>88</v>
      </c>
      <c r="S14" t="s">
        <v>88</v>
      </c>
      <c r="T14" t="s">
        <v>88</v>
      </c>
      <c r="U14" t="s">
        <v>88</v>
      </c>
      <c r="V14" t="s">
        <v>88</v>
      </c>
      <c r="W14" t="s">
        <v>88</v>
      </c>
      <c r="X14" t="s">
        <v>88</v>
      </c>
      <c r="Y14" t="s">
        <v>88</v>
      </c>
    </row>
    <row r="15" spans="1:25">
      <c r="A15" t="s">
        <v>65</v>
      </c>
      <c r="B15" t="s">
        <v>124</v>
      </c>
      <c r="C15" t="s">
        <v>124</v>
      </c>
      <c r="D15" t="s">
        <v>124</v>
      </c>
      <c r="E15" t="s">
        <v>124</v>
      </c>
      <c r="F15" t="s">
        <v>124</v>
      </c>
      <c r="G15" t="s">
        <v>124</v>
      </c>
      <c r="H15" t="s">
        <v>124</v>
      </c>
      <c r="I15" t="s">
        <v>124</v>
      </c>
      <c r="J15" t="s">
        <v>124</v>
      </c>
      <c r="K15" t="s">
        <v>124</v>
      </c>
      <c r="L15" t="s">
        <v>124</v>
      </c>
      <c r="M15" t="s">
        <v>124</v>
      </c>
      <c r="N15" t="s">
        <v>124</v>
      </c>
      <c r="O15" t="s">
        <v>124</v>
      </c>
      <c r="P15" t="s">
        <v>124</v>
      </c>
      <c r="Q15" t="s">
        <v>124</v>
      </c>
      <c r="R15" t="s">
        <v>124</v>
      </c>
      <c r="S15" t="s">
        <v>124</v>
      </c>
      <c r="T15" t="s">
        <v>124</v>
      </c>
      <c r="U15" t="s">
        <v>124</v>
      </c>
      <c r="V15" t="s">
        <v>124</v>
      </c>
      <c r="W15" t="s">
        <v>124</v>
      </c>
      <c r="X15" t="s">
        <v>124</v>
      </c>
      <c r="Y15" t="s">
        <v>124</v>
      </c>
    </row>
    <row r="16" spans="1:25">
      <c r="A16" t="s">
        <v>107</v>
      </c>
      <c r="B16" s="115" t="s">
        <v>124</v>
      </c>
      <c r="C16" s="115" t="s">
        <v>124</v>
      </c>
      <c r="D16" s="115" t="s">
        <v>124</v>
      </c>
      <c r="E16" s="115" t="s">
        <v>124</v>
      </c>
      <c r="F16" s="115" t="s">
        <v>124</v>
      </c>
      <c r="G16" s="115" t="s">
        <v>124</v>
      </c>
      <c r="H16" s="115" t="s">
        <v>124</v>
      </c>
      <c r="I16" s="115" t="s">
        <v>124</v>
      </c>
      <c r="J16" s="115" t="s">
        <v>124</v>
      </c>
      <c r="K16" s="115" t="s">
        <v>124</v>
      </c>
      <c r="L16" s="115" t="s">
        <v>124</v>
      </c>
      <c r="M16" s="115" t="s">
        <v>124</v>
      </c>
      <c r="N16" s="115" t="s">
        <v>124</v>
      </c>
      <c r="O16" s="115" t="s">
        <v>124</v>
      </c>
      <c r="P16" s="115" t="s">
        <v>124</v>
      </c>
      <c r="Q16" s="115" t="s">
        <v>124</v>
      </c>
      <c r="R16" s="115" t="s">
        <v>124</v>
      </c>
      <c r="S16" t="s">
        <v>124</v>
      </c>
    </row>
    <row r="17" spans="1:25">
      <c r="A17" t="s">
        <v>71</v>
      </c>
      <c r="T17" t="s">
        <v>124</v>
      </c>
      <c r="U17" t="s">
        <v>124</v>
      </c>
      <c r="V17" t="s">
        <v>124</v>
      </c>
      <c r="W17" t="s">
        <v>124</v>
      </c>
      <c r="X17" t="s">
        <v>124</v>
      </c>
      <c r="Y17" t="s">
        <v>124</v>
      </c>
    </row>
    <row r="18" spans="1:25">
      <c r="A18" t="s">
        <v>64</v>
      </c>
      <c r="B18" t="s">
        <v>83</v>
      </c>
      <c r="C18" t="s">
        <v>83</v>
      </c>
      <c r="D18" t="s">
        <v>83</v>
      </c>
      <c r="E18" t="s">
        <v>83</v>
      </c>
      <c r="F18" t="s">
        <v>83</v>
      </c>
      <c r="G18" t="s">
        <v>83</v>
      </c>
      <c r="H18" t="s">
        <v>83</v>
      </c>
      <c r="I18" t="s">
        <v>83</v>
      </c>
      <c r="J18" t="s">
        <v>83</v>
      </c>
      <c r="K18" t="s">
        <v>83</v>
      </c>
      <c r="L18" t="s">
        <v>83</v>
      </c>
      <c r="M18" t="s">
        <v>83</v>
      </c>
      <c r="N18" t="s">
        <v>83</v>
      </c>
      <c r="O18" t="s">
        <v>83</v>
      </c>
      <c r="P18" t="s">
        <v>83</v>
      </c>
      <c r="Q18" t="s">
        <v>83</v>
      </c>
      <c r="R18" t="s">
        <v>83</v>
      </c>
      <c r="S18" t="s">
        <v>83</v>
      </c>
      <c r="T18" t="s">
        <v>83</v>
      </c>
      <c r="U18" t="s">
        <v>83</v>
      </c>
      <c r="V18" t="s">
        <v>83</v>
      </c>
      <c r="W18" t="s">
        <v>83</v>
      </c>
      <c r="X18" t="s">
        <v>83</v>
      </c>
      <c r="Y18" t="s">
        <v>83</v>
      </c>
    </row>
    <row r="19" spans="1:25">
      <c r="A19" t="s">
        <v>75</v>
      </c>
      <c r="Q19" t="s">
        <v>83</v>
      </c>
      <c r="R19" t="s">
        <v>83</v>
      </c>
      <c r="S19" t="s">
        <v>83</v>
      </c>
      <c r="T19" t="s">
        <v>83</v>
      </c>
      <c r="U19" t="s">
        <v>83</v>
      </c>
      <c r="V19" t="s">
        <v>83</v>
      </c>
      <c r="W19" t="s">
        <v>83</v>
      </c>
      <c r="X19" t="s">
        <v>83</v>
      </c>
      <c r="Y19" t="s">
        <v>83</v>
      </c>
    </row>
    <row r="20" spans="1:25">
      <c r="A20" t="s">
        <v>109</v>
      </c>
      <c r="B20" t="s">
        <v>83</v>
      </c>
      <c r="C20" t="s">
        <v>83</v>
      </c>
      <c r="D20" t="s">
        <v>83</v>
      </c>
      <c r="E20" t="s">
        <v>83</v>
      </c>
      <c r="F20" t="s">
        <v>83</v>
      </c>
      <c r="G20" t="s">
        <v>83</v>
      </c>
      <c r="H20" t="s">
        <v>83</v>
      </c>
      <c r="I20" t="s">
        <v>83</v>
      </c>
      <c r="J20" t="s">
        <v>83</v>
      </c>
      <c r="K20" t="s">
        <v>83</v>
      </c>
      <c r="L20" t="s">
        <v>83</v>
      </c>
      <c r="M20" t="s">
        <v>83</v>
      </c>
      <c r="N20" t="s">
        <v>83</v>
      </c>
      <c r="O20" t="s">
        <v>83</v>
      </c>
      <c r="P20" t="s">
        <v>83</v>
      </c>
    </row>
    <row r="21" spans="1:25">
      <c r="A21" t="s">
        <v>105</v>
      </c>
      <c r="B21" t="s">
        <v>123</v>
      </c>
      <c r="C21" t="s">
        <v>123</v>
      </c>
      <c r="D21" t="s">
        <v>123</v>
      </c>
      <c r="E21" t="s">
        <v>123</v>
      </c>
      <c r="F21" t="s">
        <v>123</v>
      </c>
      <c r="G21" t="s">
        <v>123</v>
      </c>
      <c r="H21" t="s">
        <v>123</v>
      </c>
      <c r="I21" t="s">
        <v>123</v>
      </c>
      <c r="J21" t="s">
        <v>123</v>
      </c>
      <c r="K21" t="s">
        <v>123</v>
      </c>
      <c r="L21" t="s">
        <v>123</v>
      </c>
      <c r="M21" t="s">
        <v>123</v>
      </c>
      <c r="N21" t="s">
        <v>123</v>
      </c>
      <c r="O21" t="s">
        <v>123</v>
      </c>
      <c r="P21" t="s">
        <v>123</v>
      </c>
      <c r="Q21" t="s">
        <v>123</v>
      </c>
      <c r="S21" t="s">
        <v>123</v>
      </c>
      <c r="T21" t="s">
        <v>123</v>
      </c>
      <c r="U21" t="s">
        <v>123</v>
      </c>
      <c r="W21" t="s">
        <v>123</v>
      </c>
      <c r="X21" t="s">
        <v>123</v>
      </c>
      <c r="Y21" t="s">
        <v>123</v>
      </c>
    </row>
    <row r="22" spans="1:25">
      <c r="A22" t="s">
        <v>67</v>
      </c>
      <c r="B22" t="s">
        <v>123</v>
      </c>
      <c r="C22" t="s">
        <v>123</v>
      </c>
      <c r="D22" t="s">
        <v>123</v>
      </c>
      <c r="E22" t="s">
        <v>123</v>
      </c>
      <c r="F22" t="s">
        <v>123</v>
      </c>
      <c r="G22" t="s">
        <v>123</v>
      </c>
      <c r="H22" t="s">
        <v>123</v>
      </c>
      <c r="I22" t="s">
        <v>123</v>
      </c>
      <c r="J22" t="s">
        <v>123</v>
      </c>
      <c r="K22" t="s">
        <v>123</v>
      </c>
      <c r="L22" t="s">
        <v>123</v>
      </c>
      <c r="M22" t="s">
        <v>123</v>
      </c>
      <c r="N22" t="s">
        <v>123</v>
      </c>
      <c r="O22" t="s">
        <v>123</v>
      </c>
      <c r="P22" t="s">
        <v>123</v>
      </c>
      <c r="Q22" t="s">
        <v>123</v>
      </c>
      <c r="R22" t="s">
        <v>123</v>
      </c>
      <c r="S22" t="s">
        <v>123</v>
      </c>
      <c r="T22" t="s">
        <v>123</v>
      </c>
      <c r="U22" t="s">
        <v>123</v>
      </c>
      <c r="V22" t="s">
        <v>123</v>
      </c>
      <c r="W22" t="s">
        <v>123</v>
      </c>
      <c r="X22" t="s">
        <v>123</v>
      </c>
      <c r="Y22" t="s">
        <v>123</v>
      </c>
    </row>
    <row r="23" spans="1:25">
      <c r="A23" t="s">
        <v>108</v>
      </c>
      <c r="B23" t="s">
        <v>125</v>
      </c>
      <c r="C23" t="s">
        <v>125</v>
      </c>
      <c r="D23" t="s">
        <v>125</v>
      </c>
      <c r="E23" t="s">
        <v>125</v>
      </c>
      <c r="F23" t="s">
        <v>125</v>
      </c>
      <c r="G23" t="s">
        <v>125</v>
      </c>
      <c r="H23" t="s">
        <v>125</v>
      </c>
      <c r="I23" t="s">
        <v>125</v>
      </c>
      <c r="J23" t="s">
        <v>125</v>
      </c>
      <c r="K23" t="s">
        <v>125</v>
      </c>
      <c r="L23" t="s">
        <v>125</v>
      </c>
      <c r="M23" t="s">
        <v>125</v>
      </c>
      <c r="N23" t="s">
        <v>125</v>
      </c>
      <c r="O23" t="s">
        <v>125</v>
      </c>
      <c r="P23" t="s">
        <v>125</v>
      </c>
      <c r="Q23" t="s">
        <v>125</v>
      </c>
      <c r="R23" t="s">
        <v>125</v>
      </c>
      <c r="S23" t="s">
        <v>125</v>
      </c>
      <c r="T23" t="s">
        <v>125</v>
      </c>
      <c r="U23" t="s">
        <v>125</v>
      </c>
      <c r="V23" t="s">
        <v>125</v>
      </c>
      <c r="W23" t="s">
        <v>125</v>
      </c>
      <c r="X23" t="s">
        <v>125</v>
      </c>
      <c r="Y23" t="s">
        <v>125</v>
      </c>
    </row>
    <row r="24" spans="1:25">
      <c r="A24" t="s">
        <v>106</v>
      </c>
      <c r="B24" t="s">
        <v>125</v>
      </c>
      <c r="C24" t="s">
        <v>125</v>
      </c>
      <c r="D24" t="s">
        <v>125</v>
      </c>
      <c r="E24" t="s">
        <v>125</v>
      </c>
      <c r="F24" t="s">
        <v>125</v>
      </c>
      <c r="G24" t="s">
        <v>125</v>
      </c>
      <c r="H24" t="s">
        <v>125</v>
      </c>
      <c r="I24" t="s">
        <v>125</v>
      </c>
      <c r="J24" t="s">
        <v>125</v>
      </c>
      <c r="K24" t="s">
        <v>125</v>
      </c>
      <c r="L24" t="s">
        <v>125</v>
      </c>
      <c r="M24" t="s">
        <v>125</v>
      </c>
      <c r="N24" t="s">
        <v>125</v>
      </c>
      <c r="O24" t="s">
        <v>125</v>
      </c>
      <c r="P24" t="s">
        <v>125</v>
      </c>
      <c r="Q24" t="s">
        <v>125</v>
      </c>
      <c r="R24" t="s">
        <v>125</v>
      </c>
      <c r="S24" t="s">
        <v>125</v>
      </c>
      <c r="T24" t="s">
        <v>125</v>
      </c>
      <c r="U24" t="s">
        <v>125</v>
      </c>
      <c r="V24" t="s">
        <v>125</v>
      </c>
      <c r="W24" t="s">
        <v>125</v>
      </c>
      <c r="X24" t="s">
        <v>125</v>
      </c>
      <c r="Y24" t="s">
        <v>125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8"/>
  </sheetPr>
  <dimension ref="A1:Z27"/>
  <sheetViews>
    <sheetView workbookViewId="0">
      <selection activeCell="S32" sqref="S32"/>
    </sheetView>
  </sheetViews>
  <sheetFormatPr baseColWidth="10" defaultRowHeight="16"/>
  <sheetData>
    <row r="1" spans="1:26">
      <c r="B1">
        <v>1</v>
      </c>
      <c r="C1">
        <v>2</v>
      </c>
      <c r="D1">
        <v>3</v>
      </c>
      <c r="E1">
        <v>4</v>
      </c>
      <c r="F1">
        <v>5</v>
      </c>
      <c r="G1">
        <v>6</v>
      </c>
      <c r="H1">
        <v>7</v>
      </c>
      <c r="I1">
        <v>8</v>
      </c>
      <c r="J1">
        <v>9</v>
      </c>
      <c r="K1">
        <v>10</v>
      </c>
      <c r="L1">
        <v>11</v>
      </c>
      <c r="M1">
        <v>12</v>
      </c>
      <c r="N1">
        <v>13</v>
      </c>
      <c r="O1">
        <v>14</v>
      </c>
      <c r="P1">
        <v>15</v>
      </c>
      <c r="Q1">
        <v>16</v>
      </c>
      <c r="R1">
        <v>17</v>
      </c>
      <c r="S1">
        <v>18</v>
      </c>
      <c r="T1">
        <v>19</v>
      </c>
      <c r="U1">
        <v>20</v>
      </c>
      <c r="V1">
        <v>21</v>
      </c>
      <c r="W1">
        <v>22</v>
      </c>
      <c r="X1">
        <v>23</v>
      </c>
      <c r="Y1">
        <v>24</v>
      </c>
    </row>
    <row r="2" spans="1:26">
      <c r="A2" s="111" t="s">
        <v>56</v>
      </c>
      <c r="B2" s="111">
        <v>30</v>
      </c>
      <c r="C2" s="111">
        <v>30.2</v>
      </c>
      <c r="D2" s="111">
        <v>30.4</v>
      </c>
      <c r="E2" s="111">
        <v>29.7</v>
      </c>
      <c r="F2" s="111">
        <v>29.9</v>
      </c>
      <c r="G2" s="111">
        <v>30.1</v>
      </c>
      <c r="H2" s="111">
        <v>30.2</v>
      </c>
      <c r="I2" s="111">
        <v>30.4</v>
      </c>
      <c r="J2" s="111">
        <v>30.5</v>
      </c>
      <c r="K2" s="111">
        <v>30.7</v>
      </c>
      <c r="L2" s="111">
        <v>30.8</v>
      </c>
      <c r="M2" s="111">
        <v>30.9</v>
      </c>
      <c r="N2" s="111">
        <v>31</v>
      </c>
      <c r="O2" s="111">
        <v>31.1</v>
      </c>
      <c r="P2" s="111">
        <v>31.3</v>
      </c>
      <c r="Q2" s="111">
        <v>31.4</v>
      </c>
      <c r="R2" s="111">
        <v>31.4</v>
      </c>
      <c r="S2" s="111">
        <v>31.5</v>
      </c>
      <c r="T2" s="111">
        <v>31.6</v>
      </c>
      <c r="U2" s="111">
        <v>31.7</v>
      </c>
      <c r="V2" s="111">
        <v>31.8</v>
      </c>
      <c r="W2" s="111">
        <v>32</v>
      </c>
      <c r="X2" s="111">
        <v>32.1</v>
      </c>
      <c r="Y2" s="111">
        <v>32.299999999999997</v>
      </c>
      <c r="Z2" s="111"/>
    </row>
    <row r="3" spans="1:26">
      <c r="A3" s="111" t="s">
        <v>57</v>
      </c>
      <c r="B3" s="111">
        <v>23</v>
      </c>
      <c r="C3" s="111">
        <v>23.1</v>
      </c>
      <c r="D3" s="111">
        <v>23.2</v>
      </c>
      <c r="E3" s="111">
        <v>23.5</v>
      </c>
      <c r="F3" s="111">
        <v>23.8</v>
      </c>
      <c r="G3" s="111">
        <v>24.1</v>
      </c>
      <c r="H3" s="111">
        <v>24.4</v>
      </c>
      <c r="I3" s="111">
        <v>25.4</v>
      </c>
      <c r="J3" s="111">
        <v>25.6</v>
      </c>
      <c r="K3" s="111">
        <v>25.8</v>
      </c>
      <c r="L3" s="111">
        <v>26</v>
      </c>
      <c r="M3" s="111">
        <v>26</v>
      </c>
      <c r="N3" s="111">
        <v>26.1</v>
      </c>
      <c r="O3" s="111">
        <v>26.2</v>
      </c>
      <c r="P3" s="111">
        <v>26.3</v>
      </c>
      <c r="Q3" s="111">
        <v>26.5</v>
      </c>
      <c r="R3" s="111">
        <v>26.6</v>
      </c>
      <c r="S3" s="111">
        <v>26.8</v>
      </c>
      <c r="T3" s="111">
        <v>27</v>
      </c>
      <c r="U3" s="111">
        <v>27.1</v>
      </c>
      <c r="V3" s="111">
        <v>27.2</v>
      </c>
      <c r="W3" s="111">
        <v>27.3</v>
      </c>
      <c r="X3" s="111">
        <v>27.4</v>
      </c>
      <c r="Y3" s="111">
        <v>27.5</v>
      </c>
      <c r="Z3" s="111"/>
    </row>
    <row r="4" spans="1:26">
      <c r="A4" s="111" t="s">
        <v>60</v>
      </c>
      <c r="B4" s="111">
        <v>19.100000000000001</v>
      </c>
      <c r="C4" s="111">
        <v>19.399999999999999</v>
      </c>
      <c r="D4" s="111">
        <v>20.399999999999999</v>
      </c>
      <c r="E4" s="111">
        <v>21.4</v>
      </c>
      <c r="F4" s="111">
        <v>21.7</v>
      </c>
      <c r="G4" s="111">
        <v>22</v>
      </c>
      <c r="H4" s="111">
        <v>22.3</v>
      </c>
      <c r="I4" s="111">
        <v>22.6</v>
      </c>
      <c r="J4" s="111">
        <v>23.6</v>
      </c>
      <c r="K4" s="111">
        <v>23.1</v>
      </c>
      <c r="L4" s="111">
        <v>23.2</v>
      </c>
      <c r="M4" s="111">
        <v>23.3</v>
      </c>
      <c r="N4" s="111">
        <v>23</v>
      </c>
      <c r="O4" s="111">
        <v>23.3</v>
      </c>
      <c r="P4" s="111">
        <v>23.6</v>
      </c>
      <c r="Q4" s="111">
        <v>23.9</v>
      </c>
      <c r="R4" s="111">
        <v>24.9</v>
      </c>
      <c r="S4" s="111">
        <v>25.2</v>
      </c>
      <c r="T4" s="111">
        <v>25.3</v>
      </c>
      <c r="U4" s="111">
        <v>25.5</v>
      </c>
      <c r="V4" s="111">
        <v>25.7</v>
      </c>
      <c r="W4" s="111">
        <v>25.8</v>
      </c>
      <c r="X4" s="111">
        <v>25.9</v>
      </c>
      <c r="Y4" s="111">
        <v>26.1</v>
      </c>
      <c r="Z4" s="111"/>
    </row>
    <row r="5" spans="1:26">
      <c r="A5" s="111" t="s">
        <v>110</v>
      </c>
      <c r="B5" s="111">
        <v>20.8</v>
      </c>
      <c r="C5" s="111">
        <v>21.1</v>
      </c>
      <c r="D5" s="111">
        <v>22.1</v>
      </c>
      <c r="E5" s="111">
        <v>22.4</v>
      </c>
      <c r="F5" s="111">
        <v>22.7</v>
      </c>
      <c r="G5" s="111">
        <v>23</v>
      </c>
      <c r="H5" s="111">
        <v>23.3</v>
      </c>
      <c r="I5" s="111">
        <v>23.4</v>
      </c>
      <c r="J5" s="111">
        <v>22.9</v>
      </c>
      <c r="K5" s="111">
        <v>22.4</v>
      </c>
      <c r="L5" s="111">
        <v>22.5</v>
      </c>
      <c r="M5" s="111">
        <v>22.6</v>
      </c>
      <c r="N5" s="111">
        <v>22.7</v>
      </c>
      <c r="O5" s="111">
        <v>23</v>
      </c>
      <c r="P5" s="111">
        <v>23.3</v>
      </c>
      <c r="Q5" s="111">
        <v>23.4</v>
      </c>
      <c r="R5" s="111">
        <v>23.5</v>
      </c>
      <c r="S5" s="111">
        <v>23</v>
      </c>
      <c r="T5" s="111">
        <v>23.1</v>
      </c>
      <c r="U5" s="111">
        <v>23.2</v>
      </c>
      <c r="V5" s="111">
        <v>23.3</v>
      </c>
      <c r="W5" s="111">
        <v>23.6</v>
      </c>
      <c r="X5" s="111">
        <v>23.7</v>
      </c>
      <c r="Y5" s="111">
        <v>23.2</v>
      </c>
      <c r="Z5" s="111"/>
    </row>
    <row r="6" spans="1:26">
      <c r="A6" s="111" t="s">
        <v>58</v>
      </c>
      <c r="B6" s="111">
        <v>19</v>
      </c>
      <c r="C6" s="111">
        <v>19.100000000000001</v>
      </c>
      <c r="D6" s="111">
        <v>19.399999999999999</v>
      </c>
      <c r="E6" s="111">
        <v>19.7</v>
      </c>
      <c r="F6" s="111">
        <v>19.8</v>
      </c>
      <c r="G6" s="111">
        <v>19.899999999999999</v>
      </c>
      <c r="H6" s="111">
        <v>20</v>
      </c>
      <c r="I6" s="111">
        <v>20.3</v>
      </c>
      <c r="J6" s="111">
        <v>21.3</v>
      </c>
      <c r="K6" s="111">
        <v>21.6</v>
      </c>
      <c r="L6" s="111">
        <v>21.7</v>
      </c>
      <c r="M6" s="111">
        <v>22</v>
      </c>
      <c r="N6" s="111">
        <v>22.3</v>
      </c>
      <c r="O6" s="111">
        <v>23.3</v>
      </c>
      <c r="P6" s="111">
        <v>23.6</v>
      </c>
      <c r="Q6" s="111">
        <v>23.9</v>
      </c>
      <c r="R6" s="111">
        <v>24.2</v>
      </c>
      <c r="S6" s="111">
        <v>25.2</v>
      </c>
      <c r="T6" s="111">
        <v>25.3</v>
      </c>
      <c r="U6" s="111">
        <v>25.4</v>
      </c>
      <c r="V6" s="111">
        <v>25.5</v>
      </c>
      <c r="W6" s="111">
        <v>25.5</v>
      </c>
      <c r="X6" s="111">
        <v>25.6</v>
      </c>
      <c r="Y6" s="111">
        <v>25.7</v>
      </c>
      <c r="Z6" s="111"/>
    </row>
    <row r="7" spans="1:26">
      <c r="A7" s="111" t="s">
        <v>61</v>
      </c>
      <c r="B7" s="111">
        <v>19.3</v>
      </c>
      <c r="C7" s="111">
        <v>19.399999999999999</v>
      </c>
      <c r="D7" s="111">
        <v>19.5</v>
      </c>
      <c r="E7" s="111">
        <v>19</v>
      </c>
      <c r="F7" s="111">
        <v>18.7</v>
      </c>
      <c r="G7" s="111">
        <v>19</v>
      </c>
      <c r="H7" s="111">
        <v>19.100000000000001</v>
      </c>
      <c r="I7" s="111">
        <v>19.399999999999999</v>
      </c>
      <c r="J7" s="111">
        <v>20.399999999999999</v>
      </c>
      <c r="K7" s="111">
        <v>21.4</v>
      </c>
      <c r="L7" s="111">
        <v>21.7</v>
      </c>
      <c r="M7" s="111">
        <v>21.8</v>
      </c>
      <c r="N7" s="111">
        <v>22.8</v>
      </c>
      <c r="O7" s="111">
        <v>23.1</v>
      </c>
      <c r="P7" s="111">
        <v>24.1</v>
      </c>
      <c r="Q7" s="111">
        <v>24.4</v>
      </c>
      <c r="R7" s="111">
        <v>24.5</v>
      </c>
      <c r="S7" s="111">
        <v>24.8</v>
      </c>
      <c r="T7" s="111">
        <v>25.1</v>
      </c>
      <c r="U7" s="111">
        <v>24.4</v>
      </c>
      <c r="V7" s="111">
        <v>24.7</v>
      </c>
      <c r="W7" s="111">
        <v>24.8</v>
      </c>
      <c r="X7" s="111">
        <v>25.8</v>
      </c>
      <c r="Y7" s="111">
        <v>25.8</v>
      </c>
      <c r="Z7" s="111"/>
    </row>
    <row r="8" spans="1:26">
      <c r="A8" s="111" t="s">
        <v>69</v>
      </c>
      <c r="B8" s="111">
        <v>18.5</v>
      </c>
      <c r="C8" s="111"/>
      <c r="D8" s="111">
        <v>18.8</v>
      </c>
      <c r="E8" s="111">
        <v>19.8</v>
      </c>
      <c r="F8" s="111">
        <v>20.100000000000001</v>
      </c>
      <c r="G8" s="111">
        <v>20.399999999999999</v>
      </c>
      <c r="H8" s="111">
        <v>20.7</v>
      </c>
      <c r="I8" s="111">
        <v>21</v>
      </c>
      <c r="J8" s="111">
        <v>22</v>
      </c>
      <c r="K8" s="111">
        <v>21.5</v>
      </c>
      <c r="L8" s="111">
        <v>21.6</v>
      </c>
      <c r="M8" s="111">
        <v>21.9</v>
      </c>
      <c r="N8" s="111">
        <v>22.2</v>
      </c>
      <c r="O8" s="111">
        <v>22.5</v>
      </c>
      <c r="P8" s="111">
        <v>22.6</v>
      </c>
      <c r="Q8" s="111">
        <v>22.9</v>
      </c>
      <c r="R8" s="111">
        <v>23.2</v>
      </c>
      <c r="S8" s="111">
        <v>22.7</v>
      </c>
      <c r="T8" s="111">
        <v>23</v>
      </c>
      <c r="U8" s="111">
        <v>23.3</v>
      </c>
      <c r="V8" s="111">
        <v>24.3</v>
      </c>
      <c r="W8" s="111">
        <v>23.8</v>
      </c>
      <c r="X8" s="111">
        <v>24.1</v>
      </c>
      <c r="Y8" s="111">
        <v>24.4</v>
      </c>
      <c r="Z8" s="111"/>
    </row>
    <row r="9" spans="1:26">
      <c r="A9" s="111" t="s">
        <v>59</v>
      </c>
      <c r="B9" s="111">
        <v>18.8</v>
      </c>
      <c r="C9" s="111">
        <v>19.100000000000001</v>
      </c>
      <c r="D9" s="111">
        <v>19.2</v>
      </c>
      <c r="E9" s="111">
        <v>18.7</v>
      </c>
      <c r="F9" s="111">
        <v>18.8</v>
      </c>
      <c r="G9" s="111">
        <v>19.100000000000001</v>
      </c>
      <c r="H9" s="111">
        <v>19.2</v>
      </c>
      <c r="I9" s="111">
        <v>19.5</v>
      </c>
      <c r="J9" s="111">
        <v>20.5</v>
      </c>
      <c r="K9" s="111">
        <v>20.8</v>
      </c>
      <c r="L9" s="111">
        <v>21.1</v>
      </c>
      <c r="M9" s="111">
        <v>21.4</v>
      </c>
      <c r="N9" s="111">
        <v>20.9</v>
      </c>
      <c r="O9" s="111">
        <v>21.2</v>
      </c>
      <c r="P9" s="111">
        <v>20.7</v>
      </c>
      <c r="Q9" s="111">
        <v>20.8</v>
      </c>
      <c r="R9" s="111">
        <v>21.1</v>
      </c>
      <c r="S9" s="111">
        <v>21.4</v>
      </c>
      <c r="T9" s="111">
        <v>21.7</v>
      </c>
      <c r="U9" s="111">
        <v>22</v>
      </c>
      <c r="V9" s="111">
        <v>22.3</v>
      </c>
      <c r="W9" s="111">
        <v>22.6</v>
      </c>
      <c r="X9" s="111">
        <v>22.9</v>
      </c>
      <c r="Y9" s="111">
        <v>23.2</v>
      </c>
      <c r="Z9" s="111"/>
    </row>
    <row r="10" spans="1:26">
      <c r="A10" s="111" t="s">
        <v>73</v>
      </c>
      <c r="B10" s="111">
        <v>15.8</v>
      </c>
      <c r="C10" s="111">
        <v>15.9</v>
      </c>
      <c r="D10" s="111">
        <v>16.2</v>
      </c>
      <c r="E10" s="111">
        <v>16.3</v>
      </c>
      <c r="F10" s="111">
        <v>16.399999999999999</v>
      </c>
      <c r="G10" s="111">
        <v>16.5</v>
      </c>
      <c r="H10" s="111">
        <v>16.600000000000001</v>
      </c>
      <c r="I10" s="111">
        <v>16.3</v>
      </c>
      <c r="J10" s="111">
        <v>16.399999999999999</v>
      </c>
      <c r="K10" s="111">
        <v>16.7</v>
      </c>
      <c r="L10" s="111">
        <v>16.399999999999999</v>
      </c>
      <c r="M10" s="111">
        <v>16.5</v>
      </c>
      <c r="N10" s="111">
        <v>16.600000000000001</v>
      </c>
      <c r="O10" s="111">
        <v>16.3</v>
      </c>
      <c r="P10" s="111">
        <v>16.399999999999999</v>
      </c>
      <c r="Q10" s="111">
        <v>16.5</v>
      </c>
      <c r="R10" s="111">
        <v>16.2</v>
      </c>
      <c r="S10" s="111">
        <v>16.3</v>
      </c>
      <c r="T10" s="111">
        <v>16.399999999999999</v>
      </c>
      <c r="U10" s="111">
        <v>15.9</v>
      </c>
      <c r="V10" s="111">
        <v>15.4</v>
      </c>
      <c r="W10" s="111">
        <v>15.1</v>
      </c>
      <c r="X10" s="111">
        <v>15.2</v>
      </c>
      <c r="Y10" s="111">
        <v>15.3</v>
      </c>
      <c r="Z10" s="111"/>
    </row>
    <row r="11" spans="1:26">
      <c r="A11" s="111" t="s">
        <v>63</v>
      </c>
      <c r="B11" s="111"/>
      <c r="C11" s="111"/>
      <c r="D11" s="111"/>
      <c r="E11" s="111"/>
      <c r="F11" s="111"/>
      <c r="G11" s="111"/>
      <c r="H11" s="111"/>
      <c r="I11" s="111"/>
      <c r="J11" s="111"/>
      <c r="K11" s="111"/>
      <c r="L11" s="111"/>
      <c r="M11" s="111"/>
      <c r="N11" s="111"/>
      <c r="O11" s="111"/>
      <c r="P11" s="111"/>
      <c r="Q11" s="111"/>
      <c r="R11" s="111">
        <v>15</v>
      </c>
      <c r="S11" s="111"/>
      <c r="T11" s="111"/>
      <c r="U11" s="111"/>
      <c r="V11" s="111">
        <v>13.3</v>
      </c>
      <c r="W11" s="111"/>
      <c r="X11" s="111"/>
      <c r="Y11" s="111"/>
      <c r="Z11" s="111"/>
    </row>
    <row r="12" spans="1:26">
      <c r="A12" s="111" t="s">
        <v>63</v>
      </c>
      <c r="B12" s="111"/>
      <c r="C12" s="111">
        <v>14</v>
      </c>
      <c r="D12" s="111"/>
      <c r="E12" s="111"/>
      <c r="F12" s="111"/>
      <c r="G12" s="111"/>
      <c r="H12" s="111"/>
      <c r="I12" s="111"/>
      <c r="J12" s="111"/>
      <c r="K12" s="111"/>
      <c r="L12" s="111"/>
      <c r="M12" s="111"/>
      <c r="N12" s="111"/>
      <c r="O12" s="111"/>
      <c r="P12" s="111"/>
      <c r="Q12" s="111"/>
      <c r="R12" s="111"/>
      <c r="S12" s="111"/>
      <c r="T12" s="111"/>
      <c r="U12" s="111"/>
      <c r="V12" s="111"/>
      <c r="W12" s="111"/>
      <c r="X12" s="111"/>
      <c r="Y12" s="111"/>
      <c r="Z12" s="111"/>
    </row>
    <row r="13" spans="1:26">
      <c r="A13" s="111" t="s">
        <v>68</v>
      </c>
      <c r="B13" s="111">
        <v>10.7</v>
      </c>
      <c r="C13" s="111">
        <v>11.2</v>
      </c>
      <c r="D13" s="111">
        <v>11</v>
      </c>
      <c r="E13" s="111">
        <v>12</v>
      </c>
      <c r="F13" s="111">
        <v>12.5</v>
      </c>
      <c r="G13" s="111">
        <v>13</v>
      </c>
      <c r="H13" s="111">
        <v>12.8</v>
      </c>
      <c r="I13" s="111">
        <v>13.3</v>
      </c>
      <c r="J13" s="111">
        <v>13.2</v>
      </c>
      <c r="K13" s="111">
        <v>14.2</v>
      </c>
      <c r="L13" s="111">
        <v>14.1</v>
      </c>
      <c r="M13" s="111">
        <v>14.6</v>
      </c>
      <c r="N13" s="111">
        <v>15.1</v>
      </c>
      <c r="O13" s="111">
        <v>15.2</v>
      </c>
      <c r="P13" s="111">
        <v>15.3</v>
      </c>
      <c r="Q13" s="111">
        <v>15</v>
      </c>
      <c r="R13" s="111">
        <v>14.7</v>
      </c>
      <c r="S13" s="111">
        <v>14.5</v>
      </c>
      <c r="T13" s="111">
        <v>14.4</v>
      </c>
      <c r="U13" s="111">
        <v>14.3</v>
      </c>
      <c r="V13" s="111">
        <v>14.8</v>
      </c>
      <c r="W13" s="111">
        <v>14.6</v>
      </c>
      <c r="X13" s="111">
        <v>14.5</v>
      </c>
      <c r="Y13" s="111">
        <v>14.3</v>
      </c>
      <c r="Z13" s="111"/>
    </row>
    <row r="14" spans="1:26">
      <c r="A14" s="111" t="s">
        <v>76</v>
      </c>
      <c r="B14" s="111"/>
      <c r="C14" s="111"/>
      <c r="D14" s="111"/>
      <c r="E14" s="111"/>
      <c r="F14" s="111"/>
      <c r="G14" s="111"/>
      <c r="H14" s="111"/>
      <c r="I14" s="111"/>
      <c r="J14" s="111"/>
      <c r="K14" s="111"/>
      <c r="L14" s="111"/>
      <c r="M14" s="111"/>
      <c r="N14" s="111"/>
      <c r="O14" s="111"/>
      <c r="P14" s="111"/>
      <c r="Q14" s="111"/>
      <c r="R14" s="111"/>
      <c r="S14" s="111"/>
      <c r="T14" s="111"/>
      <c r="U14" s="111"/>
      <c r="V14" s="111"/>
      <c r="W14" s="111"/>
      <c r="X14" s="111"/>
      <c r="Y14" s="111">
        <v>10.9</v>
      </c>
      <c r="Z14" s="111"/>
    </row>
    <row r="15" spans="1:26">
      <c r="A15" s="111" t="s">
        <v>71</v>
      </c>
      <c r="B15" s="111"/>
      <c r="C15" s="111"/>
      <c r="D15" s="111"/>
      <c r="E15" s="111"/>
      <c r="F15" s="111"/>
      <c r="G15" s="111"/>
      <c r="H15" s="111"/>
      <c r="I15" s="111"/>
      <c r="J15" s="111"/>
      <c r="K15" s="111"/>
      <c r="L15" s="111"/>
      <c r="M15" s="111"/>
      <c r="N15" s="111"/>
      <c r="O15" s="111"/>
      <c r="P15" s="111"/>
      <c r="Q15" s="111"/>
      <c r="R15" s="111"/>
      <c r="S15" s="111"/>
      <c r="T15" s="111">
        <v>10.199999999999999</v>
      </c>
      <c r="U15" s="111">
        <v>10.7</v>
      </c>
      <c r="V15" s="111">
        <v>10.6</v>
      </c>
      <c r="W15" s="111">
        <v>11.1</v>
      </c>
      <c r="X15" s="111">
        <v>11</v>
      </c>
      <c r="Y15" s="111">
        <v>10.9</v>
      </c>
      <c r="Z15" s="111"/>
    </row>
    <row r="16" spans="1:26">
      <c r="A16" s="111" t="s">
        <v>66</v>
      </c>
      <c r="B16" s="111">
        <v>7.8</v>
      </c>
      <c r="C16" s="111">
        <v>8.3000000000000007</v>
      </c>
      <c r="D16" s="111">
        <v>8.8000000000000007</v>
      </c>
      <c r="E16" s="111">
        <v>8.6</v>
      </c>
      <c r="F16" s="111">
        <v>8.5</v>
      </c>
      <c r="G16" s="111">
        <v>9</v>
      </c>
      <c r="H16" s="111">
        <v>9.5</v>
      </c>
      <c r="I16" s="111">
        <v>9.4</v>
      </c>
      <c r="J16" s="111">
        <v>9.1999999999999993</v>
      </c>
      <c r="K16" s="111">
        <v>10.199999999999999</v>
      </c>
      <c r="L16" s="111">
        <v>10.1</v>
      </c>
      <c r="M16" s="111">
        <v>10</v>
      </c>
      <c r="N16" s="111">
        <v>10.5</v>
      </c>
      <c r="O16" s="111">
        <v>11</v>
      </c>
      <c r="P16" s="111">
        <v>11.5</v>
      </c>
      <c r="Q16" s="111">
        <v>11.4</v>
      </c>
      <c r="R16" s="111">
        <v>11.3</v>
      </c>
      <c r="S16" s="111">
        <v>11.8</v>
      </c>
      <c r="T16" s="111">
        <v>12.3</v>
      </c>
      <c r="U16" s="111">
        <v>12.8</v>
      </c>
      <c r="V16" s="111">
        <v>13.3</v>
      </c>
      <c r="W16" s="111">
        <v>14.8</v>
      </c>
      <c r="X16" s="111">
        <v>14.6</v>
      </c>
      <c r="Y16" s="111"/>
      <c r="Z16" s="111"/>
    </row>
    <row r="17" spans="1:26">
      <c r="A17" s="111" t="s">
        <v>105</v>
      </c>
      <c r="B17" s="111">
        <v>6.2</v>
      </c>
      <c r="C17" s="111">
        <v>6.7</v>
      </c>
      <c r="D17" s="111">
        <v>7.2</v>
      </c>
      <c r="E17" s="111">
        <v>7.7</v>
      </c>
      <c r="F17" s="111">
        <v>8.1999999999999993</v>
      </c>
      <c r="G17" s="111">
        <v>8.6999999999999993</v>
      </c>
      <c r="H17" s="111">
        <v>8.6</v>
      </c>
      <c r="I17" s="111">
        <v>9.1</v>
      </c>
      <c r="J17" s="111">
        <v>8.9</v>
      </c>
      <c r="K17" s="111">
        <v>9.9</v>
      </c>
      <c r="L17" s="111">
        <v>9.8000000000000007</v>
      </c>
      <c r="M17" s="111">
        <v>10.3</v>
      </c>
      <c r="N17" s="111">
        <v>10.8</v>
      </c>
      <c r="O17" s="111">
        <v>11.3</v>
      </c>
      <c r="P17" s="111">
        <v>11.8</v>
      </c>
      <c r="Q17" s="111">
        <v>12.3</v>
      </c>
      <c r="R17" s="111"/>
      <c r="S17" s="111">
        <v>12.6</v>
      </c>
      <c r="T17" s="111">
        <v>12.4</v>
      </c>
      <c r="U17" s="111">
        <v>12.9</v>
      </c>
      <c r="V17" s="111"/>
      <c r="W17" s="111">
        <v>13.4</v>
      </c>
      <c r="X17" s="111">
        <v>13.3</v>
      </c>
      <c r="Y17" s="111">
        <v>14.3</v>
      </c>
      <c r="Z17" s="111"/>
    </row>
    <row r="18" spans="1:26">
      <c r="A18" s="111" t="s">
        <v>107</v>
      </c>
      <c r="B18" s="111">
        <v>9</v>
      </c>
      <c r="C18" s="111">
        <v>8.9</v>
      </c>
      <c r="D18" s="111">
        <v>8.6999999999999993</v>
      </c>
      <c r="E18" s="111">
        <v>9.1999999999999993</v>
      </c>
      <c r="F18" s="111">
        <v>9</v>
      </c>
      <c r="G18" s="111">
        <v>8.8000000000000007</v>
      </c>
      <c r="H18" s="111">
        <v>9.3000000000000007</v>
      </c>
      <c r="I18" s="111">
        <v>9.1</v>
      </c>
      <c r="J18" s="111">
        <v>8.9</v>
      </c>
      <c r="K18" s="111">
        <v>9.4</v>
      </c>
      <c r="L18" s="111">
        <v>9.9</v>
      </c>
      <c r="M18" s="111">
        <v>10.4</v>
      </c>
      <c r="N18" s="111">
        <v>10.9</v>
      </c>
      <c r="O18" s="111">
        <v>10.8</v>
      </c>
      <c r="P18" s="111">
        <v>11.3</v>
      </c>
      <c r="Q18" s="111">
        <v>11.2</v>
      </c>
      <c r="R18" s="111">
        <v>11.1</v>
      </c>
      <c r="S18" s="111">
        <v>11</v>
      </c>
      <c r="T18" s="111"/>
      <c r="U18" s="111"/>
      <c r="V18" s="111"/>
      <c r="W18" s="111"/>
      <c r="X18" s="111"/>
      <c r="Y18" s="111"/>
      <c r="Z18" s="111"/>
    </row>
    <row r="19" spans="1:26">
      <c r="A19" s="111" t="s">
        <v>65</v>
      </c>
      <c r="B19" s="111">
        <v>8</v>
      </c>
      <c r="C19" s="111">
        <v>7.8</v>
      </c>
      <c r="D19" s="111">
        <v>7.6</v>
      </c>
      <c r="E19" s="111">
        <v>8.1</v>
      </c>
      <c r="F19" s="111">
        <v>8.6</v>
      </c>
      <c r="G19" s="111">
        <v>8.4</v>
      </c>
      <c r="H19" s="111">
        <v>9.4</v>
      </c>
      <c r="I19" s="111">
        <v>9.3000000000000007</v>
      </c>
      <c r="J19" s="111">
        <v>9.8000000000000007</v>
      </c>
      <c r="K19" s="111">
        <v>9.6</v>
      </c>
      <c r="L19" s="111">
        <v>9.5</v>
      </c>
      <c r="M19" s="111">
        <v>10</v>
      </c>
      <c r="N19" s="111">
        <v>10.5</v>
      </c>
      <c r="O19" s="111">
        <v>10.4</v>
      </c>
      <c r="P19" s="111">
        <v>10.9</v>
      </c>
      <c r="Q19" s="111">
        <v>10.7</v>
      </c>
      <c r="R19" s="111">
        <v>10.5</v>
      </c>
      <c r="S19" s="111">
        <v>10.3</v>
      </c>
      <c r="T19" s="111">
        <v>10.199999999999999</v>
      </c>
      <c r="U19" s="111">
        <v>10.1</v>
      </c>
      <c r="V19" s="111">
        <v>9.9</v>
      </c>
      <c r="W19" s="111">
        <v>10.9</v>
      </c>
      <c r="X19" s="111">
        <v>11.4</v>
      </c>
      <c r="Y19" s="111">
        <v>11.9</v>
      </c>
      <c r="Z19" s="111"/>
    </row>
    <row r="20" spans="1:26">
      <c r="A20" s="111" t="s">
        <v>72</v>
      </c>
      <c r="B20" s="111">
        <v>7.8</v>
      </c>
      <c r="C20" s="111">
        <v>7.7</v>
      </c>
      <c r="D20" s="111">
        <v>7.5</v>
      </c>
      <c r="E20" s="111">
        <v>7.4</v>
      </c>
      <c r="F20" s="111">
        <v>7.3</v>
      </c>
      <c r="G20" s="111">
        <v>7.8</v>
      </c>
      <c r="H20" s="111">
        <v>8.3000000000000007</v>
      </c>
      <c r="I20" s="111">
        <v>8.1999999999999993</v>
      </c>
      <c r="J20" s="111">
        <v>8.1</v>
      </c>
      <c r="K20" s="111">
        <v>9.1</v>
      </c>
      <c r="L20" s="111">
        <v>9.6</v>
      </c>
      <c r="M20" s="111">
        <v>10.1</v>
      </c>
      <c r="N20" s="111">
        <v>9.9</v>
      </c>
      <c r="O20" s="111">
        <v>9.6999999999999993</v>
      </c>
      <c r="P20" s="111">
        <v>9.6</v>
      </c>
      <c r="Q20" s="111">
        <v>10.1</v>
      </c>
      <c r="R20" s="111">
        <v>10</v>
      </c>
      <c r="S20" s="111">
        <v>9.8000000000000007</v>
      </c>
      <c r="T20" s="111">
        <v>9.6999999999999993</v>
      </c>
      <c r="U20" s="111">
        <v>9.5</v>
      </c>
      <c r="V20" s="111">
        <v>10</v>
      </c>
      <c r="W20" s="111">
        <v>11</v>
      </c>
      <c r="X20" s="111">
        <v>10.8</v>
      </c>
      <c r="Y20" s="111">
        <v>11.8</v>
      </c>
      <c r="Z20" s="111"/>
    </row>
    <row r="21" spans="1:26">
      <c r="A21" s="111" t="s">
        <v>67</v>
      </c>
      <c r="B21" s="111">
        <v>6.4</v>
      </c>
      <c r="C21" s="111">
        <v>6.2</v>
      </c>
      <c r="D21" s="111">
        <v>6.7</v>
      </c>
      <c r="E21" s="111">
        <v>7.2</v>
      </c>
      <c r="F21" s="111">
        <v>7.7</v>
      </c>
      <c r="G21" s="111">
        <v>7.6</v>
      </c>
      <c r="H21" s="111">
        <v>8.1</v>
      </c>
      <c r="I21" s="111">
        <v>8</v>
      </c>
      <c r="J21" s="111">
        <v>7.8</v>
      </c>
      <c r="K21" s="111">
        <v>8.8000000000000007</v>
      </c>
      <c r="L21" s="111">
        <v>8.6999999999999993</v>
      </c>
      <c r="M21" s="111">
        <v>9.1999999999999993</v>
      </c>
      <c r="N21" s="111">
        <v>9.6999999999999993</v>
      </c>
      <c r="O21" s="111">
        <v>9.5</v>
      </c>
      <c r="P21" s="111">
        <v>9.4</v>
      </c>
      <c r="Q21" s="111">
        <v>9.9</v>
      </c>
      <c r="R21" s="111">
        <v>9.6999999999999993</v>
      </c>
      <c r="S21" s="111">
        <v>10.199999999999999</v>
      </c>
      <c r="T21" s="111">
        <v>10.7</v>
      </c>
      <c r="U21" s="111">
        <v>11.2</v>
      </c>
      <c r="V21" s="111">
        <v>11.7</v>
      </c>
      <c r="W21" s="111">
        <v>11.5</v>
      </c>
      <c r="X21" s="111">
        <v>12</v>
      </c>
      <c r="Y21" s="111">
        <v>11.8</v>
      </c>
      <c r="Z21" s="111"/>
    </row>
    <row r="22" spans="1:26">
      <c r="A22" s="111" t="s">
        <v>64</v>
      </c>
      <c r="B22" s="111">
        <v>7</v>
      </c>
      <c r="C22" s="111">
        <v>6.8</v>
      </c>
      <c r="D22" s="111">
        <v>7.3</v>
      </c>
      <c r="E22" s="111">
        <v>7.2</v>
      </c>
      <c r="F22" s="111">
        <v>7</v>
      </c>
      <c r="G22" s="111">
        <v>7.5</v>
      </c>
      <c r="H22" s="111">
        <v>8</v>
      </c>
      <c r="I22" s="111">
        <v>7.8</v>
      </c>
      <c r="J22" s="111">
        <v>8.3000000000000007</v>
      </c>
      <c r="K22" s="111">
        <v>8.1</v>
      </c>
      <c r="L22" s="111">
        <v>8</v>
      </c>
      <c r="M22" s="111">
        <v>8.5</v>
      </c>
      <c r="N22" s="111">
        <v>9</v>
      </c>
      <c r="O22" s="111">
        <v>8.9</v>
      </c>
      <c r="P22" s="111">
        <v>8.8000000000000007</v>
      </c>
      <c r="Q22" s="111">
        <v>8.6</v>
      </c>
      <c r="R22" s="111">
        <v>8.5</v>
      </c>
      <c r="S22" s="111">
        <v>9</v>
      </c>
      <c r="T22" s="111">
        <v>8.8000000000000007</v>
      </c>
      <c r="U22" s="111">
        <v>9.3000000000000007</v>
      </c>
      <c r="V22" s="111">
        <v>9.1</v>
      </c>
      <c r="W22" s="111">
        <v>8.9</v>
      </c>
      <c r="X22" s="111">
        <v>8.6999999999999993</v>
      </c>
      <c r="Y22" s="111">
        <v>8.6</v>
      </c>
      <c r="Z22" s="111"/>
    </row>
    <row r="23" spans="1:26">
      <c r="A23" s="111" t="s">
        <v>106</v>
      </c>
      <c r="B23" s="111">
        <v>6.6</v>
      </c>
      <c r="C23" s="111">
        <v>7.1</v>
      </c>
      <c r="D23" s="111">
        <v>6.9</v>
      </c>
      <c r="E23" s="111">
        <v>6.8</v>
      </c>
      <c r="F23" s="111">
        <v>6.6</v>
      </c>
      <c r="G23" s="111">
        <v>7.1</v>
      </c>
      <c r="H23" s="111">
        <v>7.6</v>
      </c>
      <c r="I23" s="111">
        <v>7.5</v>
      </c>
      <c r="J23" s="111">
        <v>7.4</v>
      </c>
      <c r="K23" s="111">
        <v>7.9</v>
      </c>
      <c r="L23" s="111">
        <v>7.8</v>
      </c>
      <c r="M23" s="111">
        <v>7.7</v>
      </c>
      <c r="N23" s="111">
        <v>7.5</v>
      </c>
      <c r="O23" s="111">
        <v>7.3</v>
      </c>
      <c r="P23" s="111">
        <v>7.1</v>
      </c>
      <c r="Q23" s="111">
        <v>6.9</v>
      </c>
      <c r="R23" s="111">
        <v>6.8</v>
      </c>
      <c r="S23" s="111">
        <v>7.3</v>
      </c>
      <c r="T23" s="111">
        <v>7.8</v>
      </c>
      <c r="U23" s="111">
        <v>7.7</v>
      </c>
      <c r="V23" s="111">
        <v>8.1999999999999993</v>
      </c>
      <c r="W23" s="111">
        <v>8.6999999999999993</v>
      </c>
      <c r="X23" s="111">
        <v>8.6</v>
      </c>
      <c r="Y23" s="111">
        <v>9.6</v>
      </c>
      <c r="Z23" s="111"/>
    </row>
    <row r="24" spans="1:26">
      <c r="A24" s="111" t="s">
        <v>108</v>
      </c>
      <c r="B24" s="111">
        <v>6.4</v>
      </c>
      <c r="C24" s="111">
        <v>6.2</v>
      </c>
      <c r="D24" s="111">
        <v>6</v>
      </c>
      <c r="E24" s="111">
        <v>5.9</v>
      </c>
      <c r="F24" s="111">
        <v>6.4</v>
      </c>
      <c r="G24" s="111">
        <v>6.2</v>
      </c>
      <c r="H24" s="111">
        <v>6.7</v>
      </c>
      <c r="I24" s="111">
        <v>6.5</v>
      </c>
      <c r="J24" s="111">
        <v>7.5</v>
      </c>
      <c r="K24" s="111">
        <v>8</v>
      </c>
      <c r="L24" s="111">
        <v>7.9</v>
      </c>
      <c r="M24" s="111">
        <v>7.8</v>
      </c>
      <c r="N24" s="111">
        <v>7.7</v>
      </c>
      <c r="O24" s="111">
        <v>7.6</v>
      </c>
      <c r="P24" s="111">
        <v>7.5</v>
      </c>
      <c r="Q24" s="111">
        <v>7.4</v>
      </c>
      <c r="R24" s="111">
        <v>7.3</v>
      </c>
      <c r="S24" s="111">
        <v>7.2</v>
      </c>
      <c r="T24" s="111">
        <v>7.1</v>
      </c>
      <c r="U24" s="111">
        <v>7</v>
      </c>
      <c r="V24" s="111">
        <v>6.9</v>
      </c>
      <c r="W24" s="111">
        <v>6.7</v>
      </c>
      <c r="X24" s="111">
        <v>6.6</v>
      </c>
      <c r="Y24" s="111">
        <v>7.1</v>
      </c>
      <c r="Z24" s="111"/>
    </row>
    <row r="25" spans="1:26">
      <c r="A25" s="111" t="s">
        <v>75</v>
      </c>
      <c r="B25" s="111"/>
      <c r="C25" s="111"/>
      <c r="D25" s="111"/>
      <c r="E25" s="111"/>
      <c r="F25" s="111"/>
      <c r="G25" s="111"/>
      <c r="H25" s="111"/>
      <c r="I25" s="111"/>
      <c r="J25" s="111"/>
      <c r="K25" s="111"/>
      <c r="L25" s="111"/>
      <c r="M25" s="111"/>
      <c r="N25" s="111"/>
      <c r="O25" s="111"/>
      <c r="P25" s="111"/>
      <c r="Q25" s="111">
        <v>4.8</v>
      </c>
      <c r="R25" s="111">
        <v>5.3</v>
      </c>
      <c r="S25" s="111">
        <v>5.8</v>
      </c>
      <c r="T25" s="111">
        <v>6.3</v>
      </c>
      <c r="U25" s="111">
        <v>6.8</v>
      </c>
      <c r="V25" s="111">
        <v>7.3</v>
      </c>
      <c r="W25" s="111">
        <v>7.1</v>
      </c>
      <c r="X25" s="111">
        <v>7.6</v>
      </c>
      <c r="Y25" s="111">
        <v>7.4</v>
      </c>
      <c r="Z25" s="111"/>
    </row>
    <row r="26" spans="1:26">
      <c r="A26" s="111" t="s">
        <v>109</v>
      </c>
      <c r="B26" s="111">
        <v>5.5</v>
      </c>
      <c r="C26" s="111">
        <v>5.4</v>
      </c>
      <c r="D26" s="111"/>
      <c r="E26" s="111">
        <v>5.9</v>
      </c>
      <c r="F26" s="111">
        <v>6.4</v>
      </c>
      <c r="G26" s="111">
        <v>6.3</v>
      </c>
      <c r="H26" s="111">
        <v>6.1</v>
      </c>
      <c r="I26" s="111">
        <v>5.9</v>
      </c>
      <c r="J26" s="111">
        <v>5.8</v>
      </c>
      <c r="K26" s="111">
        <v>5.6</v>
      </c>
      <c r="L26" s="111">
        <v>5.5</v>
      </c>
      <c r="M26" s="111">
        <v>5.3</v>
      </c>
      <c r="N26" s="111">
        <v>5.2</v>
      </c>
      <c r="O26" s="111">
        <v>5.0999999999999996</v>
      </c>
      <c r="P26" s="111">
        <v>5</v>
      </c>
      <c r="Q26" s="111"/>
      <c r="R26" s="111"/>
      <c r="S26" s="111"/>
      <c r="T26" s="111"/>
      <c r="U26" s="111"/>
      <c r="V26" s="111"/>
      <c r="W26" s="111"/>
      <c r="X26" s="111"/>
      <c r="Y26" s="111"/>
      <c r="Z26" s="111"/>
    </row>
    <row r="27" spans="1:26">
      <c r="A27" s="112"/>
      <c r="B27" s="111"/>
      <c r="C27" s="111"/>
      <c r="D27" s="111"/>
      <c r="E27" s="111"/>
      <c r="F27" s="111"/>
      <c r="G27" s="111"/>
      <c r="H27" s="111"/>
      <c r="I27" s="111"/>
      <c r="J27" s="111"/>
      <c r="K27" s="111"/>
      <c r="L27" s="111"/>
      <c r="M27" s="111"/>
      <c r="N27" s="111"/>
      <c r="O27" s="111"/>
      <c r="P27" s="111"/>
      <c r="Q27" s="111"/>
      <c r="R27" s="111"/>
      <c r="S27" s="111"/>
      <c r="T27" s="111"/>
      <c r="U27" s="111"/>
      <c r="V27" s="111"/>
      <c r="W27" s="111"/>
      <c r="X27" s="111"/>
      <c r="Y27" s="111"/>
      <c r="Z27" s="111"/>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8"/>
  </sheetPr>
  <dimension ref="A1:Z12"/>
  <sheetViews>
    <sheetView workbookViewId="0">
      <selection activeCell="R28" sqref="R28"/>
    </sheetView>
  </sheetViews>
  <sheetFormatPr baseColWidth="10" defaultRowHeight="16"/>
  <sheetData>
    <row r="1" spans="1:26">
      <c r="B1">
        <v>1</v>
      </c>
      <c r="C1">
        <v>2</v>
      </c>
      <c r="D1">
        <v>3</v>
      </c>
      <c r="E1">
        <v>4</v>
      </c>
      <c r="F1">
        <v>5</v>
      </c>
      <c r="G1">
        <v>6</v>
      </c>
      <c r="H1">
        <v>7</v>
      </c>
      <c r="I1">
        <v>8</v>
      </c>
      <c r="J1">
        <v>9</v>
      </c>
      <c r="K1">
        <v>10</v>
      </c>
      <c r="L1">
        <v>11</v>
      </c>
      <c r="M1">
        <v>12</v>
      </c>
      <c r="N1">
        <v>13</v>
      </c>
      <c r="O1">
        <v>14</v>
      </c>
      <c r="P1">
        <v>15</v>
      </c>
      <c r="Q1">
        <v>16</v>
      </c>
      <c r="R1">
        <v>17</v>
      </c>
      <c r="S1">
        <v>18</v>
      </c>
      <c r="T1">
        <v>19</v>
      </c>
      <c r="U1">
        <v>20</v>
      </c>
      <c r="V1">
        <v>21</v>
      </c>
      <c r="W1">
        <v>22</v>
      </c>
      <c r="X1">
        <v>23</v>
      </c>
      <c r="Y1">
        <v>24</v>
      </c>
    </row>
    <row r="2" spans="1:26">
      <c r="A2" s="111" t="s">
        <v>80</v>
      </c>
      <c r="B2" s="111">
        <v>27.9</v>
      </c>
      <c r="C2" s="111">
        <v>28</v>
      </c>
      <c r="D2" s="111">
        <v>28.2</v>
      </c>
      <c r="E2" s="111">
        <v>28.2</v>
      </c>
      <c r="F2" s="111">
        <v>28.4</v>
      </c>
      <c r="G2" s="111">
        <v>28.6</v>
      </c>
      <c r="H2" s="111">
        <v>28.7</v>
      </c>
      <c r="I2" s="111">
        <v>28.8</v>
      </c>
      <c r="J2" s="111">
        <v>28.8</v>
      </c>
      <c r="K2" s="111">
        <v>28.8</v>
      </c>
      <c r="L2" s="111">
        <v>28.9</v>
      </c>
      <c r="M2" s="111">
        <v>28.9</v>
      </c>
      <c r="N2" s="111">
        <v>29</v>
      </c>
      <c r="O2" s="111">
        <v>29</v>
      </c>
      <c r="P2" s="111">
        <v>29.1</v>
      </c>
      <c r="Q2" s="111">
        <v>29.2</v>
      </c>
      <c r="R2" s="111">
        <v>29.2</v>
      </c>
      <c r="S2" s="111">
        <v>29.2</v>
      </c>
      <c r="T2" s="111">
        <v>29.3</v>
      </c>
      <c r="U2" s="111">
        <v>29.4</v>
      </c>
      <c r="V2" s="111">
        <v>29.4</v>
      </c>
      <c r="W2" s="111">
        <v>29.6</v>
      </c>
      <c r="X2" s="111">
        <v>29.7</v>
      </c>
      <c r="Y2" s="111">
        <v>29.7</v>
      </c>
      <c r="Z2" s="111"/>
    </row>
    <row r="3" spans="1:26">
      <c r="A3" s="111" t="s">
        <v>79</v>
      </c>
      <c r="B3" s="111">
        <v>23.2</v>
      </c>
      <c r="C3" s="111">
        <v>23.3</v>
      </c>
      <c r="D3" s="111">
        <v>23.6</v>
      </c>
      <c r="E3" s="111">
        <v>23.9</v>
      </c>
      <c r="F3" s="111">
        <v>24</v>
      </c>
      <c r="G3" s="111">
        <v>24.1</v>
      </c>
      <c r="H3" s="111">
        <v>24.2</v>
      </c>
      <c r="I3" s="111">
        <v>24.5</v>
      </c>
      <c r="J3" s="111">
        <v>25.5</v>
      </c>
      <c r="K3" s="111">
        <v>25.6</v>
      </c>
      <c r="L3" s="111">
        <v>25.7</v>
      </c>
      <c r="M3" s="111">
        <v>25.7</v>
      </c>
      <c r="N3" s="111">
        <v>25.8</v>
      </c>
      <c r="O3" s="111">
        <v>25.9</v>
      </c>
      <c r="P3" s="111">
        <v>26</v>
      </c>
      <c r="Q3" s="111">
        <v>26.1</v>
      </c>
      <c r="R3" s="111">
        <v>26.2</v>
      </c>
      <c r="S3" s="111">
        <v>26.4</v>
      </c>
      <c r="T3" s="111">
        <v>26.5</v>
      </c>
      <c r="U3" s="111">
        <v>26.6</v>
      </c>
      <c r="V3" s="111">
        <v>26.7</v>
      </c>
      <c r="W3" s="111">
        <v>26.8</v>
      </c>
      <c r="X3" s="111">
        <v>26.9</v>
      </c>
      <c r="Y3" s="111">
        <v>27</v>
      </c>
      <c r="Z3" s="111"/>
    </row>
    <row r="4" spans="1:26">
      <c r="A4" s="111" t="s">
        <v>82</v>
      </c>
      <c r="B4" s="111">
        <v>19.3</v>
      </c>
      <c r="C4" s="111">
        <v>19.600000000000001</v>
      </c>
      <c r="D4" s="111">
        <v>19.899999999999999</v>
      </c>
      <c r="E4" s="111">
        <v>20.9</v>
      </c>
      <c r="F4" s="111">
        <v>21.2</v>
      </c>
      <c r="G4" s="111">
        <v>21.5</v>
      </c>
      <c r="H4" s="111">
        <v>21.8</v>
      </c>
      <c r="I4" s="111">
        <v>22.1</v>
      </c>
      <c r="J4" s="111">
        <v>23.1</v>
      </c>
      <c r="K4" s="111">
        <v>22.6</v>
      </c>
      <c r="L4" s="111">
        <v>22.7</v>
      </c>
      <c r="M4" s="111">
        <v>23</v>
      </c>
      <c r="N4" s="111">
        <v>23.1</v>
      </c>
      <c r="O4" s="111">
        <v>23.4</v>
      </c>
      <c r="P4" s="111">
        <v>23.7</v>
      </c>
      <c r="Q4" s="111">
        <v>24</v>
      </c>
      <c r="R4" s="111">
        <v>24.3</v>
      </c>
      <c r="S4" s="111">
        <v>24.4</v>
      </c>
      <c r="T4" s="111">
        <v>24.7</v>
      </c>
      <c r="U4" s="111">
        <v>25</v>
      </c>
      <c r="V4" s="111">
        <v>25.1</v>
      </c>
      <c r="W4" s="111">
        <v>25.1</v>
      </c>
      <c r="X4" s="111">
        <v>25.2</v>
      </c>
      <c r="Y4" s="111">
        <v>25.3</v>
      </c>
      <c r="Z4" s="111"/>
    </row>
    <row r="5" spans="1:26">
      <c r="A5" s="111" t="s">
        <v>81</v>
      </c>
      <c r="B5" s="111">
        <v>20.100000000000001</v>
      </c>
      <c r="C5" s="111">
        <v>20.2</v>
      </c>
      <c r="D5" s="111">
        <v>20.3</v>
      </c>
      <c r="E5" s="111">
        <v>19.8</v>
      </c>
      <c r="F5" s="111">
        <v>19.899999999999999</v>
      </c>
      <c r="G5" s="111">
        <v>20.2</v>
      </c>
      <c r="H5" s="111">
        <v>20.3</v>
      </c>
      <c r="I5" s="111">
        <v>20.6</v>
      </c>
      <c r="J5" s="111">
        <v>21.6</v>
      </c>
      <c r="K5" s="111">
        <v>21.9</v>
      </c>
      <c r="L5" s="111">
        <v>22.2</v>
      </c>
      <c r="M5" s="111">
        <v>22.5</v>
      </c>
      <c r="N5" s="111">
        <v>22.6</v>
      </c>
      <c r="O5" s="111">
        <v>22.9</v>
      </c>
      <c r="P5" s="111">
        <v>23</v>
      </c>
      <c r="Q5" s="111">
        <v>23.1</v>
      </c>
      <c r="R5" s="111">
        <v>23.4</v>
      </c>
      <c r="S5" s="111">
        <v>23.7</v>
      </c>
      <c r="T5" s="111">
        <v>24</v>
      </c>
      <c r="U5" s="111">
        <v>24.1</v>
      </c>
      <c r="V5" s="111">
        <v>24.4</v>
      </c>
      <c r="W5" s="111">
        <v>24.7</v>
      </c>
      <c r="X5" s="111">
        <v>25</v>
      </c>
      <c r="Y5" s="111">
        <v>25.1</v>
      </c>
      <c r="Z5" s="111"/>
    </row>
    <row r="6" spans="1:26">
      <c r="A6" s="111" t="s">
        <v>86</v>
      </c>
      <c r="B6" s="111">
        <v>13.6</v>
      </c>
      <c r="C6" s="111">
        <v>14.1</v>
      </c>
      <c r="D6" s="111">
        <v>14</v>
      </c>
      <c r="E6" s="111">
        <v>14.5</v>
      </c>
      <c r="F6" s="111">
        <v>15</v>
      </c>
      <c r="G6" s="111">
        <v>15.1</v>
      </c>
      <c r="H6" s="111">
        <v>14.6</v>
      </c>
      <c r="I6" s="111">
        <v>15.1</v>
      </c>
      <c r="J6" s="111">
        <v>15.2</v>
      </c>
      <c r="K6" s="111">
        <v>15.5</v>
      </c>
      <c r="L6" s="111">
        <v>15.2</v>
      </c>
      <c r="M6" s="111">
        <v>15.3</v>
      </c>
      <c r="N6" s="111">
        <v>15.4</v>
      </c>
      <c r="O6" s="111">
        <v>15.5</v>
      </c>
      <c r="P6" s="111">
        <v>15.6</v>
      </c>
      <c r="Q6" s="111">
        <v>15.7</v>
      </c>
      <c r="R6" s="111">
        <v>15.4</v>
      </c>
      <c r="S6" s="111">
        <v>15.5</v>
      </c>
      <c r="T6" s="111">
        <v>15.6</v>
      </c>
      <c r="U6" s="111">
        <v>15.3</v>
      </c>
      <c r="V6" s="111">
        <v>14.8</v>
      </c>
      <c r="W6" s="111">
        <v>14.6</v>
      </c>
      <c r="X6" s="111">
        <v>14.5</v>
      </c>
      <c r="Y6" s="111">
        <v>14.4</v>
      </c>
      <c r="Z6" s="111"/>
    </row>
    <row r="7" spans="1:26">
      <c r="A7" s="111" t="s">
        <v>85</v>
      </c>
      <c r="B7" s="111">
        <v>8.5</v>
      </c>
      <c r="C7" s="111">
        <v>8.4</v>
      </c>
      <c r="D7" s="111">
        <v>8.3000000000000007</v>
      </c>
      <c r="E7" s="111">
        <v>8.8000000000000007</v>
      </c>
      <c r="F7" s="111">
        <v>8.6</v>
      </c>
      <c r="G7" s="111">
        <v>8.4</v>
      </c>
      <c r="H7" s="111">
        <v>8.9</v>
      </c>
      <c r="I7" s="111">
        <v>8.8000000000000007</v>
      </c>
      <c r="J7" s="111">
        <v>9.3000000000000007</v>
      </c>
      <c r="K7" s="111">
        <v>9.8000000000000007</v>
      </c>
      <c r="L7" s="111">
        <v>9.6999999999999993</v>
      </c>
      <c r="M7" s="111">
        <v>10.199999999999999</v>
      </c>
      <c r="N7" s="111">
        <v>10.7</v>
      </c>
      <c r="O7" s="111">
        <v>11.2</v>
      </c>
      <c r="P7" s="111">
        <v>11.7</v>
      </c>
      <c r="Q7" s="111">
        <v>12.2</v>
      </c>
      <c r="R7" s="111">
        <v>12</v>
      </c>
      <c r="S7" s="111">
        <v>11.8</v>
      </c>
      <c r="T7" s="111">
        <v>12.3</v>
      </c>
      <c r="U7" s="111">
        <v>12.8</v>
      </c>
      <c r="V7" s="111">
        <v>12.6</v>
      </c>
      <c r="W7" s="111">
        <v>13.1</v>
      </c>
      <c r="X7" s="111">
        <v>13</v>
      </c>
      <c r="Y7" s="111">
        <v>12.9</v>
      </c>
      <c r="Z7" s="111"/>
    </row>
    <row r="8" spans="1:26">
      <c r="A8" s="111" t="s">
        <v>88</v>
      </c>
      <c r="B8" s="111">
        <v>8.4</v>
      </c>
      <c r="C8" s="111">
        <v>8.3000000000000007</v>
      </c>
      <c r="D8" s="111">
        <v>8.1</v>
      </c>
      <c r="E8" s="111">
        <v>8</v>
      </c>
      <c r="F8" s="111">
        <v>7.9</v>
      </c>
      <c r="G8" s="111">
        <v>8.4</v>
      </c>
      <c r="H8" s="111">
        <v>8.9</v>
      </c>
      <c r="I8" s="111">
        <v>8.8000000000000007</v>
      </c>
      <c r="J8" s="111">
        <v>8.6</v>
      </c>
      <c r="K8" s="111">
        <v>9.1</v>
      </c>
      <c r="L8" s="111">
        <v>9.6</v>
      </c>
      <c r="M8" s="111">
        <v>10.1</v>
      </c>
      <c r="N8" s="111">
        <v>9.9</v>
      </c>
      <c r="O8" s="111">
        <v>9.6999999999999993</v>
      </c>
      <c r="P8" s="111">
        <v>10.199999999999999</v>
      </c>
      <c r="Q8" s="111">
        <v>10.7</v>
      </c>
      <c r="R8" s="111">
        <v>11.2</v>
      </c>
      <c r="S8" s="111">
        <v>11.1</v>
      </c>
      <c r="T8" s="111">
        <v>11</v>
      </c>
      <c r="U8" s="111">
        <v>10.9</v>
      </c>
      <c r="V8" s="111">
        <v>11.4</v>
      </c>
      <c r="W8" s="111">
        <v>12.4</v>
      </c>
      <c r="X8" s="111">
        <v>12.2</v>
      </c>
      <c r="Y8" s="111">
        <v>12.1</v>
      </c>
      <c r="Z8" s="111"/>
    </row>
    <row r="9" spans="1:26">
      <c r="A9" s="111" t="s">
        <v>84</v>
      </c>
      <c r="B9" s="111">
        <v>6.3</v>
      </c>
      <c r="C9" s="111">
        <v>6.2</v>
      </c>
      <c r="D9" s="111">
        <v>6.7</v>
      </c>
      <c r="E9" s="111">
        <v>7.2</v>
      </c>
      <c r="F9" s="111">
        <v>7.7</v>
      </c>
      <c r="G9" s="111">
        <v>8.1999999999999993</v>
      </c>
      <c r="H9" s="111">
        <v>8.6999999999999993</v>
      </c>
      <c r="I9" s="111">
        <v>9.1999999999999993</v>
      </c>
      <c r="J9" s="111">
        <v>9</v>
      </c>
      <c r="K9" s="111">
        <v>9.5</v>
      </c>
      <c r="L9" s="111">
        <v>9.4</v>
      </c>
      <c r="M9" s="111">
        <v>9.9</v>
      </c>
      <c r="N9" s="111">
        <v>10.4</v>
      </c>
      <c r="O9" s="111">
        <v>10.3</v>
      </c>
      <c r="P9" s="111">
        <v>10.199999999999999</v>
      </c>
      <c r="Q9" s="111">
        <v>10.7</v>
      </c>
      <c r="R9" s="111">
        <v>10.6</v>
      </c>
      <c r="S9" s="111">
        <v>11.1</v>
      </c>
      <c r="T9" s="111">
        <v>11</v>
      </c>
      <c r="U9" s="111">
        <v>11.5</v>
      </c>
      <c r="V9" s="111">
        <v>12</v>
      </c>
      <c r="W9" s="111">
        <v>11.8</v>
      </c>
      <c r="X9" s="111">
        <v>12.3</v>
      </c>
      <c r="Y9" s="111">
        <v>12.2</v>
      </c>
      <c r="Z9" s="111"/>
    </row>
    <row r="10" spans="1:26">
      <c r="A10" s="111" t="s">
        <v>87</v>
      </c>
      <c r="B10" s="111">
        <v>6.6</v>
      </c>
      <c r="C10" s="111">
        <v>6.5</v>
      </c>
      <c r="D10" s="111">
        <v>6.3</v>
      </c>
      <c r="E10" s="111">
        <v>6.2</v>
      </c>
      <c r="F10" s="111">
        <v>6</v>
      </c>
      <c r="G10" s="111">
        <v>5.9</v>
      </c>
      <c r="H10" s="111">
        <v>6.4</v>
      </c>
      <c r="I10" s="111">
        <v>6.3</v>
      </c>
      <c r="J10" s="111">
        <v>6.8</v>
      </c>
      <c r="K10" s="111">
        <v>7.3</v>
      </c>
      <c r="L10" s="111">
        <v>7.2</v>
      </c>
      <c r="M10" s="111">
        <v>7.1</v>
      </c>
      <c r="N10" s="111">
        <v>7</v>
      </c>
      <c r="O10" s="111">
        <v>6.9</v>
      </c>
      <c r="P10" s="111">
        <v>6.7</v>
      </c>
      <c r="Q10" s="111">
        <v>6.5</v>
      </c>
      <c r="R10" s="111">
        <v>6.4</v>
      </c>
      <c r="S10" s="111">
        <v>6.9</v>
      </c>
      <c r="T10" s="111">
        <v>6.8</v>
      </c>
      <c r="U10" s="111">
        <v>6.7</v>
      </c>
      <c r="V10" s="111">
        <v>6.6</v>
      </c>
      <c r="W10" s="111">
        <v>7.1</v>
      </c>
      <c r="X10" s="111">
        <v>7</v>
      </c>
      <c r="Y10" s="111">
        <v>7.5</v>
      </c>
      <c r="Z10" s="111"/>
    </row>
    <row r="11" spans="1:26">
      <c r="A11" s="111" t="s">
        <v>83</v>
      </c>
      <c r="B11" s="111">
        <v>6.3</v>
      </c>
      <c r="C11" s="111">
        <v>6.2</v>
      </c>
      <c r="D11" s="111">
        <v>6.7</v>
      </c>
      <c r="E11" s="111">
        <v>6.6</v>
      </c>
      <c r="F11" s="111">
        <v>6.4</v>
      </c>
      <c r="G11" s="111">
        <v>6.3</v>
      </c>
      <c r="H11" s="111">
        <v>6.2</v>
      </c>
      <c r="I11" s="111">
        <v>6</v>
      </c>
      <c r="J11" s="111">
        <v>6.5</v>
      </c>
      <c r="K11" s="111">
        <v>6.3</v>
      </c>
      <c r="L11" s="111">
        <v>6.2</v>
      </c>
      <c r="M11" s="111">
        <v>6.1</v>
      </c>
      <c r="N11" s="111">
        <v>6.6</v>
      </c>
      <c r="O11" s="111">
        <v>6.5</v>
      </c>
      <c r="P11" s="111">
        <v>6.4</v>
      </c>
      <c r="Q11" s="111">
        <v>6.2</v>
      </c>
      <c r="R11" s="111">
        <v>6.7</v>
      </c>
      <c r="S11" s="111">
        <v>7.2</v>
      </c>
      <c r="T11" s="111">
        <v>7</v>
      </c>
      <c r="U11" s="111">
        <v>6.9</v>
      </c>
      <c r="V11" s="111">
        <v>6.7</v>
      </c>
      <c r="W11" s="111">
        <v>6.5</v>
      </c>
      <c r="X11" s="111">
        <v>6.3</v>
      </c>
      <c r="Y11" s="111">
        <v>6.1</v>
      </c>
      <c r="Z11" s="111"/>
    </row>
    <row r="12" spans="1:26">
      <c r="A12" s="112"/>
      <c r="B12" s="111"/>
      <c r="C12" s="111"/>
      <c r="D12" s="111"/>
      <c r="E12" s="111"/>
      <c r="F12" s="111"/>
      <c r="G12" s="111"/>
      <c r="H12" s="111"/>
      <c r="I12" s="111"/>
      <c r="J12" s="111"/>
      <c r="K12" s="111"/>
      <c r="L12" s="111"/>
      <c r="M12" s="111"/>
      <c r="N12" s="111"/>
      <c r="O12" s="111"/>
      <c r="P12" s="111"/>
      <c r="Q12" s="111"/>
      <c r="R12" s="111"/>
      <c r="S12" s="111"/>
      <c r="T12" s="111"/>
      <c r="U12" s="111"/>
      <c r="V12" s="111"/>
      <c r="W12" s="111"/>
      <c r="X12" s="111"/>
      <c r="Y12" s="111"/>
      <c r="Z12" s="111"/>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8"/>
  </sheetPr>
  <dimension ref="A1:Z27"/>
  <sheetViews>
    <sheetView workbookViewId="0">
      <selection activeCell="A26" sqref="A2:A26"/>
    </sheetView>
  </sheetViews>
  <sheetFormatPr baseColWidth="10" defaultRowHeight="16"/>
  <sheetData>
    <row r="1" spans="1:26">
      <c r="B1">
        <v>1</v>
      </c>
      <c r="C1">
        <v>2</v>
      </c>
      <c r="D1">
        <v>3</v>
      </c>
      <c r="E1">
        <v>4</v>
      </c>
      <c r="F1">
        <v>5</v>
      </c>
      <c r="G1">
        <v>6</v>
      </c>
      <c r="H1">
        <v>7</v>
      </c>
      <c r="I1">
        <v>8</v>
      </c>
      <c r="J1">
        <v>9</v>
      </c>
      <c r="K1">
        <v>10</v>
      </c>
      <c r="L1">
        <v>11</v>
      </c>
      <c r="M1">
        <v>12</v>
      </c>
      <c r="N1">
        <v>13</v>
      </c>
      <c r="O1">
        <v>14</v>
      </c>
      <c r="P1">
        <v>15</v>
      </c>
      <c r="Q1">
        <v>16</v>
      </c>
      <c r="R1">
        <v>17</v>
      </c>
      <c r="S1">
        <v>18</v>
      </c>
      <c r="T1">
        <v>19</v>
      </c>
      <c r="U1">
        <v>20</v>
      </c>
      <c r="V1">
        <v>21</v>
      </c>
      <c r="W1">
        <v>22</v>
      </c>
      <c r="X1">
        <v>23</v>
      </c>
      <c r="Y1">
        <v>24</v>
      </c>
    </row>
    <row r="2" spans="1:26">
      <c r="A2" s="111" t="s">
        <v>56</v>
      </c>
      <c r="B2" s="111">
        <v>45</v>
      </c>
      <c r="C2" s="111">
        <v>36</v>
      </c>
      <c r="D2" s="111">
        <v>-10</v>
      </c>
      <c r="E2" s="111">
        <v>47</v>
      </c>
      <c r="F2" s="111">
        <v>58</v>
      </c>
      <c r="G2" s="111">
        <v>40</v>
      </c>
      <c r="H2" s="111">
        <v>35</v>
      </c>
      <c r="I2" s="111">
        <v>13</v>
      </c>
      <c r="J2" s="111">
        <v>37</v>
      </c>
      <c r="K2" s="111">
        <v>38</v>
      </c>
      <c r="L2" s="111">
        <v>25</v>
      </c>
      <c r="M2" s="111">
        <v>29</v>
      </c>
      <c r="N2" s="111">
        <v>17</v>
      </c>
      <c r="O2" s="111">
        <v>35</v>
      </c>
      <c r="P2" s="111">
        <v>28</v>
      </c>
      <c r="Q2" s="111">
        <v>15</v>
      </c>
      <c r="R2" s="111">
        <v>18</v>
      </c>
      <c r="S2" s="111">
        <v>28</v>
      </c>
      <c r="T2" s="111">
        <v>38</v>
      </c>
      <c r="U2" s="111">
        <v>21</v>
      </c>
      <c r="V2" s="111">
        <v>77</v>
      </c>
      <c r="W2" s="111">
        <v>22</v>
      </c>
      <c r="X2" s="111">
        <v>39</v>
      </c>
      <c r="Y2" s="111">
        <v>23</v>
      </c>
      <c r="Z2" s="111"/>
    </row>
    <row r="3" spans="1:26">
      <c r="A3" s="111" t="s">
        <v>57</v>
      </c>
      <c r="B3" s="111">
        <v>16</v>
      </c>
      <c r="C3" s="111">
        <v>8</v>
      </c>
      <c r="D3" s="111">
        <v>23</v>
      </c>
      <c r="E3" s="111">
        <v>19</v>
      </c>
      <c r="F3" s="111">
        <v>36</v>
      </c>
      <c r="G3" s="111">
        <v>25</v>
      </c>
      <c r="H3" s="111">
        <v>37</v>
      </c>
      <c r="I3" s="111">
        <v>19</v>
      </c>
      <c r="J3" s="111">
        <v>40</v>
      </c>
      <c r="K3" s="111">
        <v>51</v>
      </c>
      <c r="L3" s="111">
        <v>13</v>
      </c>
      <c r="M3" s="111">
        <v>26</v>
      </c>
      <c r="N3" s="111">
        <v>28</v>
      </c>
      <c r="O3" s="111">
        <v>17</v>
      </c>
      <c r="P3" s="111">
        <v>56</v>
      </c>
      <c r="Q3" s="111">
        <v>36</v>
      </c>
      <c r="R3" s="111">
        <v>38</v>
      </c>
      <c r="S3" s="111">
        <v>35</v>
      </c>
      <c r="T3" s="111">
        <v>30</v>
      </c>
      <c r="U3" s="111">
        <v>29</v>
      </c>
      <c r="V3" s="111">
        <v>24</v>
      </c>
      <c r="W3" s="111">
        <v>29</v>
      </c>
      <c r="X3" s="111">
        <v>25</v>
      </c>
      <c r="Y3" s="111">
        <v>35</v>
      </c>
      <c r="Z3" s="111"/>
    </row>
    <row r="4" spans="1:26">
      <c r="A4" s="111" t="s">
        <v>60</v>
      </c>
      <c r="B4" s="111">
        <v>22</v>
      </c>
      <c r="C4" s="111">
        <v>37</v>
      </c>
      <c r="D4" s="111">
        <v>38</v>
      </c>
      <c r="E4" s="111">
        <v>31</v>
      </c>
      <c r="F4" s="111">
        <v>34</v>
      </c>
      <c r="G4" s="111">
        <v>33</v>
      </c>
      <c r="H4" s="111">
        <v>24</v>
      </c>
      <c r="I4" s="111">
        <v>45</v>
      </c>
      <c r="J4" s="111">
        <v>-16</v>
      </c>
      <c r="K4" s="111">
        <v>18</v>
      </c>
      <c r="L4" s="111">
        <v>16</v>
      </c>
      <c r="M4" s="111">
        <v>2</v>
      </c>
      <c r="N4" s="111">
        <v>20</v>
      </c>
      <c r="O4" s="111">
        <v>22</v>
      </c>
      <c r="P4" s="111">
        <v>26</v>
      </c>
      <c r="Q4" s="111">
        <v>46</v>
      </c>
      <c r="R4" s="111">
        <v>28</v>
      </c>
      <c r="S4" s="111">
        <v>21</v>
      </c>
      <c r="T4" s="111">
        <v>55</v>
      </c>
      <c r="U4" s="111">
        <v>35</v>
      </c>
      <c r="V4" s="111">
        <v>26</v>
      </c>
      <c r="W4" s="111">
        <v>28</v>
      </c>
      <c r="X4" s="111">
        <v>38</v>
      </c>
      <c r="Y4" s="111">
        <v>55</v>
      </c>
      <c r="Z4" s="111"/>
    </row>
    <row r="5" spans="1:26">
      <c r="A5" s="111" t="s">
        <v>63</v>
      </c>
      <c r="B5" s="111"/>
      <c r="C5" s="111">
        <v>26</v>
      </c>
      <c r="D5" s="111"/>
      <c r="E5" s="111"/>
      <c r="F5" s="111"/>
      <c r="G5" s="111"/>
      <c r="H5" s="111"/>
      <c r="I5" s="111"/>
      <c r="J5" s="111"/>
      <c r="K5" s="111"/>
      <c r="L5" s="111"/>
      <c r="M5" s="111"/>
      <c r="N5" s="111"/>
      <c r="O5" s="111"/>
      <c r="P5" s="111"/>
      <c r="Q5" s="111"/>
      <c r="R5" s="111"/>
      <c r="S5" s="111"/>
      <c r="T5" s="111"/>
      <c r="U5" s="111"/>
      <c r="V5" s="111"/>
      <c r="W5" s="111"/>
      <c r="X5" s="111"/>
      <c r="Y5" s="111"/>
      <c r="Z5" s="111"/>
    </row>
    <row r="6" spans="1:26">
      <c r="A6" s="111" t="s">
        <v>58</v>
      </c>
      <c r="B6" s="111">
        <v>10</v>
      </c>
      <c r="C6" s="111">
        <v>23</v>
      </c>
      <c r="D6" s="111">
        <v>21</v>
      </c>
      <c r="E6" s="111">
        <v>10</v>
      </c>
      <c r="F6" s="111">
        <v>12</v>
      </c>
      <c r="G6" s="111">
        <v>22</v>
      </c>
      <c r="H6" s="111">
        <v>24</v>
      </c>
      <c r="I6" s="111">
        <v>27</v>
      </c>
      <c r="J6" s="111">
        <v>17</v>
      </c>
      <c r="K6" s="111">
        <v>15</v>
      </c>
      <c r="L6" s="111">
        <v>42</v>
      </c>
      <c r="M6" s="111">
        <v>23</v>
      </c>
      <c r="N6" s="111">
        <v>46</v>
      </c>
      <c r="O6" s="111">
        <v>30</v>
      </c>
      <c r="P6" s="111">
        <v>20</v>
      </c>
      <c r="Q6" s="111">
        <v>29</v>
      </c>
      <c r="R6" s="111">
        <v>47</v>
      </c>
      <c r="S6" s="111">
        <v>26</v>
      </c>
      <c r="T6" s="111">
        <v>30</v>
      </c>
      <c r="U6" s="111">
        <v>26</v>
      </c>
      <c r="V6" s="111">
        <v>16</v>
      </c>
      <c r="W6" s="111">
        <v>22</v>
      </c>
      <c r="X6" s="111">
        <v>36</v>
      </c>
      <c r="Y6" s="111">
        <v>10</v>
      </c>
      <c r="Z6" s="111"/>
    </row>
    <row r="7" spans="1:26">
      <c r="A7" s="111" t="s">
        <v>69</v>
      </c>
      <c r="B7" s="111">
        <v>36</v>
      </c>
      <c r="C7" s="111"/>
      <c r="D7" s="111">
        <v>46</v>
      </c>
      <c r="E7" s="111">
        <v>28</v>
      </c>
      <c r="F7" s="111">
        <v>30</v>
      </c>
      <c r="G7" s="111">
        <v>26</v>
      </c>
      <c r="H7" s="111">
        <v>17</v>
      </c>
      <c r="I7" s="111">
        <v>23</v>
      </c>
      <c r="J7" s="111">
        <v>-16</v>
      </c>
      <c r="K7" s="111">
        <v>16</v>
      </c>
      <c r="L7" s="111">
        <v>28</v>
      </c>
      <c r="M7" s="111">
        <v>28</v>
      </c>
      <c r="N7" s="111">
        <v>17</v>
      </c>
      <c r="O7" s="111">
        <v>15</v>
      </c>
      <c r="P7" s="111">
        <v>20</v>
      </c>
      <c r="Q7" s="111">
        <v>19</v>
      </c>
      <c r="R7" s="111">
        <v>-4</v>
      </c>
      <c r="S7" s="111">
        <v>18</v>
      </c>
      <c r="T7" s="111">
        <v>42</v>
      </c>
      <c r="U7" s="111">
        <v>47</v>
      </c>
      <c r="V7" s="111">
        <v>-12</v>
      </c>
      <c r="W7" s="111">
        <v>31</v>
      </c>
      <c r="X7" s="111">
        <v>22</v>
      </c>
      <c r="Y7" s="111">
        <v>27</v>
      </c>
      <c r="Z7" s="111"/>
    </row>
    <row r="8" spans="1:26">
      <c r="A8" s="111" t="s">
        <v>61</v>
      </c>
      <c r="B8" s="111">
        <v>12</v>
      </c>
      <c r="C8" s="111">
        <v>6</v>
      </c>
      <c r="D8" s="111">
        <v>-19</v>
      </c>
      <c r="E8" s="111">
        <v>5</v>
      </c>
      <c r="F8" s="111">
        <v>30</v>
      </c>
      <c r="G8" s="111">
        <v>20</v>
      </c>
      <c r="H8" s="111">
        <v>16</v>
      </c>
      <c r="I8" s="111">
        <v>20</v>
      </c>
      <c r="J8" s="111">
        <v>32</v>
      </c>
      <c r="K8" s="111">
        <v>29</v>
      </c>
      <c r="L8" s="111">
        <v>23</v>
      </c>
      <c r="M8" s="111">
        <v>47</v>
      </c>
      <c r="N8" s="111">
        <v>26</v>
      </c>
      <c r="O8" s="111">
        <v>46</v>
      </c>
      <c r="P8" s="111">
        <v>21</v>
      </c>
      <c r="Q8" s="111">
        <v>18</v>
      </c>
      <c r="R8" s="111">
        <v>26</v>
      </c>
      <c r="S8" s="111">
        <v>17</v>
      </c>
      <c r="T8" s="111">
        <v>-10</v>
      </c>
      <c r="U8" s="111">
        <v>24</v>
      </c>
      <c r="V8" s="111">
        <v>15</v>
      </c>
      <c r="W8" s="111">
        <v>46</v>
      </c>
      <c r="X8" s="111">
        <v>12</v>
      </c>
      <c r="Y8" s="111">
        <v>33</v>
      </c>
      <c r="Z8" s="111"/>
    </row>
    <row r="9" spans="1:26">
      <c r="A9" s="111" t="s">
        <v>59</v>
      </c>
      <c r="B9" s="111">
        <v>20</v>
      </c>
      <c r="C9" s="111">
        <v>15</v>
      </c>
      <c r="D9" s="111">
        <v>-3</v>
      </c>
      <c r="E9" s="111">
        <v>13</v>
      </c>
      <c r="F9" s="111">
        <v>27</v>
      </c>
      <c r="G9" s="111">
        <v>10</v>
      </c>
      <c r="H9" s="111">
        <v>23</v>
      </c>
      <c r="I9" s="111">
        <v>16</v>
      </c>
      <c r="J9" s="111">
        <v>27</v>
      </c>
      <c r="K9" s="111">
        <v>27</v>
      </c>
      <c r="L9" s="111">
        <v>43</v>
      </c>
      <c r="M9" s="111">
        <v>-9</v>
      </c>
      <c r="N9" s="111">
        <v>27</v>
      </c>
      <c r="O9" s="111">
        <v>-21</v>
      </c>
      <c r="P9" s="111">
        <v>13</v>
      </c>
      <c r="Q9" s="111">
        <v>21</v>
      </c>
      <c r="R9" s="111">
        <v>26</v>
      </c>
      <c r="S9" s="111">
        <v>19</v>
      </c>
      <c r="T9" s="111">
        <v>38</v>
      </c>
      <c r="U9" s="111">
        <v>20</v>
      </c>
      <c r="V9" s="111">
        <v>25</v>
      </c>
      <c r="W9" s="111">
        <v>36</v>
      </c>
      <c r="X9" s="111">
        <v>25</v>
      </c>
      <c r="Y9" s="111">
        <v>17</v>
      </c>
      <c r="Z9" s="111"/>
    </row>
    <row r="10" spans="1:26">
      <c r="A10" s="111" t="s">
        <v>110</v>
      </c>
      <c r="B10" s="111">
        <v>31</v>
      </c>
      <c r="C10" s="111">
        <v>31</v>
      </c>
      <c r="D10" s="111">
        <v>22</v>
      </c>
      <c r="E10" s="111">
        <v>33</v>
      </c>
      <c r="F10" s="111">
        <v>40</v>
      </c>
      <c r="G10" s="111">
        <v>30</v>
      </c>
      <c r="H10" s="111">
        <v>11</v>
      </c>
      <c r="I10" s="111">
        <v>-20</v>
      </c>
      <c r="J10" s="111">
        <v>-17</v>
      </c>
      <c r="K10" s="111">
        <v>19</v>
      </c>
      <c r="L10" s="111">
        <v>18</v>
      </c>
      <c r="M10" s="111">
        <v>6</v>
      </c>
      <c r="N10" s="111">
        <v>20</v>
      </c>
      <c r="O10" s="111">
        <v>19</v>
      </c>
      <c r="P10" s="111">
        <v>14</v>
      </c>
      <c r="Q10" s="111">
        <v>15</v>
      </c>
      <c r="R10" s="111">
        <v>-2</v>
      </c>
      <c r="S10" s="111">
        <v>9</v>
      </c>
      <c r="T10" s="111">
        <v>19</v>
      </c>
      <c r="U10" s="111">
        <v>10</v>
      </c>
      <c r="V10" s="111">
        <v>26</v>
      </c>
      <c r="W10" s="111">
        <v>18</v>
      </c>
      <c r="X10" s="111">
        <v>-15</v>
      </c>
      <c r="Y10" s="111">
        <v>-18</v>
      </c>
      <c r="Z10" s="111"/>
    </row>
    <row r="11" spans="1:26">
      <c r="A11" s="111" t="s">
        <v>63</v>
      </c>
      <c r="B11" s="111"/>
      <c r="C11" s="111"/>
      <c r="D11" s="111"/>
      <c r="E11" s="111"/>
      <c r="F11" s="111"/>
      <c r="G11" s="111"/>
      <c r="H11" s="111"/>
      <c r="I11" s="111"/>
      <c r="J11" s="111"/>
      <c r="K11" s="111"/>
      <c r="L11" s="111"/>
      <c r="M11" s="111"/>
      <c r="N11" s="111"/>
      <c r="O11" s="111"/>
      <c r="P11" s="111"/>
      <c r="Q11" s="111"/>
      <c r="R11" s="111">
        <v>7</v>
      </c>
      <c r="S11" s="111"/>
      <c r="T11" s="111"/>
      <c r="U11" s="111"/>
      <c r="V11" s="111">
        <v>14</v>
      </c>
      <c r="W11" s="111"/>
      <c r="X11" s="111"/>
      <c r="Y11" s="111"/>
      <c r="Z11" s="111"/>
    </row>
    <row r="12" spans="1:26">
      <c r="A12" s="111" t="s">
        <v>76</v>
      </c>
      <c r="B12" s="111"/>
      <c r="C12" s="111"/>
      <c r="D12" s="111"/>
      <c r="E12" s="111"/>
      <c r="F12" s="111"/>
      <c r="G12" s="111"/>
      <c r="H12" s="111"/>
      <c r="I12" s="111"/>
      <c r="J12" s="111"/>
      <c r="K12" s="111"/>
      <c r="L12" s="111"/>
      <c r="M12" s="111"/>
      <c r="N12" s="111"/>
      <c r="O12" s="111"/>
      <c r="P12" s="111"/>
      <c r="Q12" s="111"/>
      <c r="R12" s="111"/>
      <c r="S12" s="111"/>
      <c r="T12" s="111"/>
      <c r="U12" s="111"/>
      <c r="V12" s="111"/>
      <c r="W12" s="111"/>
      <c r="X12" s="111"/>
      <c r="Y12" s="111">
        <v>8</v>
      </c>
      <c r="Z12" s="111"/>
    </row>
    <row r="13" spans="1:26">
      <c r="A13" s="111" t="s">
        <v>105</v>
      </c>
      <c r="B13" s="111">
        <v>7</v>
      </c>
      <c r="C13" s="111">
        <v>7</v>
      </c>
      <c r="D13" s="111">
        <v>8</v>
      </c>
      <c r="E13" s="111">
        <v>9</v>
      </c>
      <c r="F13" s="111">
        <v>17</v>
      </c>
      <c r="G13" s="111">
        <v>1</v>
      </c>
      <c r="H13" s="111">
        <v>13</v>
      </c>
      <c r="I13" s="111">
        <v>-33</v>
      </c>
      <c r="J13" s="111">
        <v>14</v>
      </c>
      <c r="K13" s="111">
        <v>4</v>
      </c>
      <c r="L13" s="111">
        <v>16</v>
      </c>
      <c r="M13" s="111">
        <v>11</v>
      </c>
      <c r="N13" s="111">
        <v>7</v>
      </c>
      <c r="O13" s="111">
        <v>6</v>
      </c>
      <c r="P13" s="111">
        <v>7</v>
      </c>
      <c r="Q13" s="111">
        <v>9</v>
      </c>
      <c r="R13" s="111"/>
      <c r="S13" s="111">
        <v>-1</v>
      </c>
      <c r="T13" s="111">
        <v>9</v>
      </c>
      <c r="U13" s="111">
        <v>15</v>
      </c>
      <c r="V13" s="111"/>
      <c r="W13" s="111">
        <v>5</v>
      </c>
      <c r="X13" s="111">
        <v>21</v>
      </c>
      <c r="Y13" s="111">
        <v>13</v>
      </c>
      <c r="Z13" s="111"/>
    </row>
    <row r="14" spans="1:26">
      <c r="A14" s="111" t="s">
        <v>73</v>
      </c>
      <c r="B14" s="111">
        <v>7</v>
      </c>
      <c r="C14" s="111">
        <v>16</v>
      </c>
      <c r="D14" s="111">
        <v>9</v>
      </c>
      <c r="E14" s="111">
        <v>14</v>
      </c>
      <c r="F14" s="111">
        <v>15</v>
      </c>
      <c r="G14" s="111">
        <v>9</v>
      </c>
      <c r="H14" s="111">
        <v>2</v>
      </c>
      <c r="I14" s="111">
        <v>5</v>
      </c>
      <c r="J14" s="111">
        <v>14</v>
      </c>
      <c r="K14" s="111">
        <v>1</v>
      </c>
      <c r="L14" s="111">
        <v>10</v>
      </c>
      <c r="M14" s="111">
        <v>9</v>
      </c>
      <c r="N14" s="111">
        <v>4</v>
      </c>
      <c r="O14" s="111">
        <v>9</v>
      </c>
      <c r="P14" s="111">
        <v>6</v>
      </c>
      <c r="Q14" s="111">
        <v>6</v>
      </c>
      <c r="R14" s="111">
        <v>14</v>
      </c>
      <c r="S14" s="111">
        <v>9</v>
      </c>
      <c r="T14" s="111">
        <v>-4</v>
      </c>
      <c r="U14" s="111">
        <v>-19</v>
      </c>
      <c r="V14" s="111">
        <v>1</v>
      </c>
      <c r="W14" s="111">
        <v>11</v>
      </c>
      <c r="X14" s="111">
        <v>18</v>
      </c>
      <c r="Y14" s="111">
        <v>7</v>
      </c>
      <c r="Z14" s="111"/>
    </row>
    <row r="15" spans="1:26">
      <c r="A15" s="111" t="s">
        <v>71</v>
      </c>
      <c r="B15" s="111"/>
      <c r="C15" s="111"/>
      <c r="D15" s="111"/>
      <c r="E15" s="111"/>
      <c r="F15" s="111"/>
      <c r="G15" s="111"/>
      <c r="H15" s="111"/>
      <c r="I15" s="111"/>
      <c r="J15" s="111"/>
      <c r="K15" s="111"/>
      <c r="L15" s="111"/>
      <c r="M15" s="111"/>
      <c r="N15" s="111"/>
      <c r="O15" s="111"/>
      <c r="P15" s="111"/>
      <c r="Q15" s="111"/>
      <c r="R15" s="111"/>
      <c r="S15" s="111"/>
      <c r="T15" s="111">
        <v>20</v>
      </c>
      <c r="U15" s="111">
        <v>4</v>
      </c>
      <c r="V15" s="111">
        <v>9</v>
      </c>
      <c r="W15" s="111">
        <v>2</v>
      </c>
      <c r="X15" s="111">
        <v>3</v>
      </c>
      <c r="Y15" s="111">
        <v>-3</v>
      </c>
      <c r="Z15" s="111"/>
    </row>
    <row r="16" spans="1:26">
      <c r="A16" s="111" t="s">
        <v>66</v>
      </c>
      <c r="B16" s="111">
        <v>7</v>
      </c>
      <c r="C16" s="111">
        <v>8</v>
      </c>
      <c r="D16" s="111">
        <v>0</v>
      </c>
      <c r="E16" s="111">
        <v>5</v>
      </c>
      <c r="F16" s="111">
        <v>12</v>
      </c>
      <c r="G16" s="111">
        <v>11</v>
      </c>
      <c r="H16" s="111">
        <v>1</v>
      </c>
      <c r="I16" s="111">
        <v>-19</v>
      </c>
      <c r="J16" s="111">
        <v>16</v>
      </c>
      <c r="K16" s="111">
        <v>4</v>
      </c>
      <c r="L16" s="111">
        <v>4</v>
      </c>
      <c r="M16" s="111">
        <v>6</v>
      </c>
      <c r="N16" s="111">
        <v>7</v>
      </c>
      <c r="O16" s="111">
        <v>10</v>
      </c>
      <c r="P16" s="111">
        <v>3</v>
      </c>
      <c r="Q16" s="111">
        <v>4</v>
      </c>
      <c r="R16" s="111">
        <v>7</v>
      </c>
      <c r="S16" s="111">
        <v>6</v>
      </c>
      <c r="T16" s="111">
        <v>10</v>
      </c>
      <c r="U16" s="111">
        <v>10</v>
      </c>
      <c r="V16" s="111">
        <v>36</v>
      </c>
      <c r="W16" s="111">
        <v>-5</v>
      </c>
      <c r="X16" s="111">
        <v>-13</v>
      </c>
      <c r="Y16" s="111"/>
      <c r="Z16" s="111"/>
    </row>
    <row r="17" spans="1:26">
      <c r="A17" s="111" t="s">
        <v>106</v>
      </c>
      <c r="B17" s="111">
        <v>11</v>
      </c>
      <c r="C17" s="111">
        <v>-2</v>
      </c>
      <c r="D17" s="111">
        <v>4</v>
      </c>
      <c r="E17" s="111">
        <v>-17</v>
      </c>
      <c r="F17" s="111">
        <v>13</v>
      </c>
      <c r="G17" s="111">
        <v>20</v>
      </c>
      <c r="H17" s="111">
        <v>5</v>
      </c>
      <c r="I17" s="111">
        <v>2</v>
      </c>
      <c r="J17" s="111">
        <v>6</v>
      </c>
      <c r="K17" s="111">
        <v>4</v>
      </c>
      <c r="L17" s="111">
        <v>2</v>
      </c>
      <c r="M17" s="111">
        <v>-2</v>
      </c>
      <c r="N17" s="111">
        <v>0</v>
      </c>
      <c r="O17" s="111">
        <v>-18</v>
      </c>
      <c r="P17" s="111">
        <v>-2</v>
      </c>
      <c r="Q17" s="111">
        <v>4</v>
      </c>
      <c r="R17" s="111">
        <v>7</v>
      </c>
      <c r="S17" s="111">
        <v>6</v>
      </c>
      <c r="T17" s="111">
        <v>6</v>
      </c>
      <c r="U17" s="111">
        <v>7</v>
      </c>
      <c r="V17" s="111">
        <v>9</v>
      </c>
      <c r="W17" s="111">
        <v>5</v>
      </c>
      <c r="X17" s="111">
        <v>27</v>
      </c>
      <c r="Y17" s="111">
        <v>8</v>
      </c>
      <c r="Z17" s="111"/>
    </row>
    <row r="18" spans="1:26">
      <c r="A18" s="111" t="s">
        <v>107</v>
      </c>
      <c r="B18" s="111">
        <v>5</v>
      </c>
      <c r="C18" s="111">
        <v>0</v>
      </c>
      <c r="D18" s="111">
        <v>8</v>
      </c>
      <c r="E18" s="111">
        <v>-19</v>
      </c>
      <c r="F18" s="111">
        <v>-9</v>
      </c>
      <c r="G18" s="111">
        <v>16</v>
      </c>
      <c r="H18" s="111">
        <v>-2</v>
      </c>
      <c r="I18" s="111">
        <v>0</v>
      </c>
      <c r="J18" s="111">
        <v>9</v>
      </c>
      <c r="K18" s="111">
        <v>7</v>
      </c>
      <c r="L18" s="111">
        <v>10</v>
      </c>
      <c r="M18" s="111">
        <v>6</v>
      </c>
      <c r="N18" s="111">
        <v>1</v>
      </c>
      <c r="O18" s="111">
        <v>8</v>
      </c>
      <c r="P18" s="111">
        <v>5</v>
      </c>
      <c r="Q18" s="111">
        <v>1</v>
      </c>
      <c r="R18" s="111">
        <v>2</v>
      </c>
      <c r="S18" s="111">
        <v>23</v>
      </c>
      <c r="T18" s="111"/>
      <c r="U18" s="111"/>
      <c r="V18" s="111"/>
      <c r="W18" s="111"/>
      <c r="X18" s="111"/>
      <c r="Y18" s="111"/>
      <c r="Z18" s="111"/>
    </row>
    <row r="19" spans="1:26">
      <c r="A19" s="111" t="s">
        <v>72</v>
      </c>
      <c r="B19" s="111">
        <v>6</v>
      </c>
      <c r="C19" s="111">
        <v>-20</v>
      </c>
      <c r="D19" s="111">
        <v>5</v>
      </c>
      <c r="E19" s="111">
        <v>5</v>
      </c>
      <c r="F19" s="111">
        <v>13</v>
      </c>
      <c r="G19" s="111">
        <v>15</v>
      </c>
      <c r="H19" s="111">
        <v>1</v>
      </c>
      <c r="I19" s="111">
        <v>2</v>
      </c>
      <c r="J19" s="111">
        <v>14</v>
      </c>
      <c r="K19" s="111">
        <v>7</v>
      </c>
      <c r="L19" s="111">
        <v>12</v>
      </c>
      <c r="M19" s="111">
        <v>-20</v>
      </c>
      <c r="N19" s="111">
        <v>-19</v>
      </c>
      <c r="O19" s="111">
        <v>3</v>
      </c>
      <c r="P19" s="111">
        <v>9</v>
      </c>
      <c r="Q19" s="111">
        <v>1</v>
      </c>
      <c r="R19" s="111">
        <v>-4</v>
      </c>
      <c r="S19" s="111">
        <v>4</v>
      </c>
      <c r="T19" s="111">
        <v>-1</v>
      </c>
      <c r="U19" s="111">
        <v>6</v>
      </c>
      <c r="V19" s="111">
        <v>30</v>
      </c>
      <c r="W19" s="111">
        <v>-12</v>
      </c>
      <c r="X19" s="111">
        <v>21</v>
      </c>
      <c r="Y19" s="111">
        <v>14</v>
      </c>
      <c r="Z19" s="111"/>
    </row>
    <row r="20" spans="1:26">
      <c r="A20" s="111" t="s">
        <v>68</v>
      </c>
      <c r="B20" s="111">
        <v>8</v>
      </c>
      <c r="C20" s="111">
        <v>-17</v>
      </c>
      <c r="D20" s="111">
        <v>16</v>
      </c>
      <c r="E20" s="111">
        <v>13</v>
      </c>
      <c r="F20" s="111">
        <v>9</v>
      </c>
      <c r="G20" s="111">
        <v>-19</v>
      </c>
      <c r="H20" s="111">
        <v>12</v>
      </c>
      <c r="I20" s="111">
        <v>2</v>
      </c>
      <c r="J20" s="111">
        <v>14</v>
      </c>
      <c r="K20" s="111">
        <v>6</v>
      </c>
      <c r="L20" s="111">
        <v>16</v>
      </c>
      <c r="M20" s="111">
        <v>12</v>
      </c>
      <c r="N20" s="111">
        <v>9</v>
      </c>
      <c r="O20" s="111">
        <v>7</v>
      </c>
      <c r="P20" s="111">
        <v>1</v>
      </c>
      <c r="Q20" s="111">
        <v>4</v>
      </c>
      <c r="R20" s="111">
        <v>-3</v>
      </c>
      <c r="S20" s="111">
        <v>4</v>
      </c>
      <c r="T20" s="111">
        <v>4</v>
      </c>
      <c r="U20" s="111">
        <v>11</v>
      </c>
      <c r="V20" s="111">
        <v>-18</v>
      </c>
      <c r="W20" s="111">
        <v>4</v>
      </c>
      <c r="X20" s="111">
        <v>-14</v>
      </c>
      <c r="Y20" s="111">
        <v>6</v>
      </c>
      <c r="Z20" s="111"/>
    </row>
    <row r="21" spans="1:26">
      <c r="A21" s="111" t="s">
        <v>67</v>
      </c>
      <c r="B21" s="111">
        <v>-3</v>
      </c>
      <c r="C21" s="111">
        <v>9</v>
      </c>
      <c r="D21" s="111">
        <v>11</v>
      </c>
      <c r="E21" s="111">
        <v>10</v>
      </c>
      <c r="F21" s="111">
        <v>4</v>
      </c>
      <c r="G21" s="111">
        <v>13</v>
      </c>
      <c r="H21" s="111">
        <v>3</v>
      </c>
      <c r="I21" s="111">
        <v>-32</v>
      </c>
      <c r="J21" s="111">
        <v>19</v>
      </c>
      <c r="K21" s="111">
        <v>6</v>
      </c>
      <c r="L21" s="111">
        <v>20</v>
      </c>
      <c r="M21" s="111">
        <v>14</v>
      </c>
      <c r="N21" s="111">
        <v>0</v>
      </c>
      <c r="O21" s="111">
        <v>2</v>
      </c>
      <c r="P21" s="111">
        <v>6</v>
      </c>
      <c r="Q21" s="111">
        <v>-3</v>
      </c>
      <c r="R21" s="111">
        <v>6</v>
      </c>
      <c r="S21" s="111">
        <v>6</v>
      </c>
      <c r="T21" s="111">
        <v>11</v>
      </c>
      <c r="U21" s="111">
        <v>9</v>
      </c>
      <c r="V21" s="111">
        <v>-42</v>
      </c>
      <c r="W21" s="111">
        <v>17</v>
      </c>
      <c r="X21" s="111">
        <v>-12</v>
      </c>
      <c r="Y21" s="111">
        <v>12</v>
      </c>
      <c r="Z21" s="111"/>
    </row>
    <row r="22" spans="1:26">
      <c r="A22" s="111" t="s">
        <v>65</v>
      </c>
      <c r="B22" s="111">
        <v>-1</v>
      </c>
      <c r="C22" s="111">
        <v>-1</v>
      </c>
      <c r="D22" s="111">
        <v>11</v>
      </c>
      <c r="E22" s="111">
        <v>10</v>
      </c>
      <c r="F22" s="111">
        <v>-6</v>
      </c>
      <c r="G22" s="111">
        <v>23</v>
      </c>
      <c r="H22" s="111">
        <v>4</v>
      </c>
      <c r="I22" s="111">
        <v>7</v>
      </c>
      <c r="J22" s="111">
        <v>0</v>
      </c>
      <c r="K22" s="111">
        <v>4</v>
      </c>
      <c r="L22" s="111">
        <v>10</v>
      </c>
      <c r="M22" s="111">
        <v>7</v>
      </c>
      <c r="N22" s="111">
        <v>4</v>
      </c>
      <c r="O22" s="111">
        <v>6</v>
      </c>
      <c r="P22" s="111">
        <v>-3</v>
      </c>
      <c r="Q22" s="111">
        <v>-17</v>
      </c>
      <c r="R22" s="111">
        <v>-19</v>
      </c>
      <c r="S22" s="111">
        <v>4</v>
      </c>
      <c r="T22" s="111">
        <v>2</v>
      </c>
      <c r="U22" s="111">
        <v>-20</v>
      </c>
      <c r="V22" s="111">
        <v>17</v>
      </c>
      <c r="W22" s="111">
        <v>9</v>
      </c>
      <c r="X22" s="111">
        <v>10</v>
      </c>
      <c r="Y22" s="111">
        <v>8</v>
      </c>
      <c r="Z22" s="111"/>
    </row>
    <row r="23" spans="1:26">
      <c r="A23" s="111" t="s">
        <v>108</v>
      </c>
      <c r="B23" s="111">
        <v>0</v>
      </c>
      <c r="C23" s="111">
        <v>-1</v>
      </c>
      <c r="D23" s="111">
        <v>2</v>
      </c>
      <c r="E23" s="111">
        <v>8</v>
      </c>
      <c r="F23" s="111">
        <v>-14</v>
      </c>
      <c r="G23" s="111">
        <v>10</v>
      </c>
      <c r="H23" s="111">
        <v>-2</v>
      </c>
      <c r="I23" s="111">
        <v>8</v>
      </c>
      <c r="J23" s="111">
        <v>8</v>
      </c>
      <c r="K23" s="111">
        <v>1</v>
      </c>
      <c r="L23" s="111">
        <v>8</v>
      </c>
      <c r="M23" s="111">
        <v>4</v>
      </c>
      <c r="N23" s="111">
        <v>1</v>
      </c>
      <c r="O23" s="111">
        <v>3</v>
      </c>
      <c r="P23" s="111">
        <v>1</v>
      </c>
      <c r="Q23" s="111">
        <v>6</v>
      </c>
      <c r="R23" s="111">
        <v>1</v>
      </c>
      <c r="S23" s="111">
        <v>3</v>
      </c>
      <c r="T23" s="111">
        <v>1</v>
      </c>
      <c r="U23" s="111">
        <v>2</v>
      </c>
      <c r="V23" s="111">
        <v>-2</v>
      </c>
      <c r="W23" s="111">
        <v>2</v>
      </c>
      <c r="X23" s="111">
        <v>12</v>
      </c>
      <c r="Y23" s="111">
        <v>-16</v>
      </c>
      <c r="Z23" s="111"/>
    </row>
    <row r="24" spans="1:26">
      <c r="A24" s="111" t="s">
        <v>75</v>
      </c>
      <c r="B24" s="111"/>
      <c r="C24" s="111"/>
      <c r="D24" s="111"/>
      <c r="E24" s="111"/>
      <c r="F24" s="111"/>
      <c r="G24" s="111"/>
      <c r="H24" s="111"/>
      <c r="I24" s="111"/>
      <c r="J24" s="111"/>
      <c r="K24" s="111"/>
      <c r="L24" s="111"/>
      <c r="M24" s="111"/>
      <c r="N24" s="111"/>
      <c r="O24" s="111"/>
      <c r="P24" s="111"/>
      <c r="Q24" s="111">
        <v>11</v>
      </c>
      <c r="R24" s="111">
        <v>9</v>
      </c>
      <c r="S24" s="111">
        <v>6</v>
      </c>
      <c r="T24" s="111">
        <v>9</v>
      </c>
      <c r="U24" s="111">
        <v>8</v>
      </c>
      <c r="V24" s="111">
        <v>-10</v>
      </c>
      <c r="W24" s="111">
        <v>10</v>
      </c>
      <c r="X24" s="111">
        <v>-16</v>
      </c>
      <c r="Y24" s="111">
        <v>-20</v>
      </c>
      <c r="Z24" s="111"/>
    </row>
    <row r="25" spans="1:26">
      <c r="A25" s="111" t="s">
        <v>109</v>
      </c>
      <c r="B25" s="111">
        <v>3</v>
      </c>
      <c r="C25" s="111">
        <v>7</v>
      </c>
      <c r="D25" s="111"/>
      <c r="E25" s="111">
        <v>9</v>
      </c>
      <c r="F25" s="111">
        <v>8</v>
      </c>
      <c r="G25" s="111">
        <v>-7</v>
      </c>
      <c r="H25" s="111">
        <v>-2</v>
      </c>
      <c r="I25" s="111">
        <v>1</v>
      </c>
      <c r="J25" s="111">
        <v>-19</v>
      </c>
      <c r="K25" s="111">
        <v>1</v>
      </c>
      <c r="L25" s="111">
        <v>0</v>
      </c>
      <c r="M25" s="111">
        <v>4</v>
      </c>
      <c r="N25" s="111">
        <v>1</v>
      </c>
      <c r="O25" s="111">
        <v>2</v>
      </c>
      <c r="P25" s="111">
        <v>0</v>
      </c>
      <c r="Q25" s="111"/>
      <c r="R25" s="111"/>
      <c r="S25" s="111"/>
      <c r="T25" s="111"/>
      <c r="U25" s="111"/>
      <c r="V25" s="111"/>
      <c r="W25" s="111"/>
      <c r="X25" s="111"/>
      <c r="Y25" s="111"/>
      <c r="Z25" s="111"/>
    </row>
    <row r="26" spans="1:26">
      <c r="A26" s="111" t="s">
        <v>64</v>
      </c>
      <c r="B26" s="111">
        <v>0</v>
      </c>
      <c r="C26" s="111">
        <v>6</v>
      </c>
      <c r="D26" s="111">
        <v>4</v>
      </c>
      <c r="E26" s="111">
        <v>-20</v>
      </c>
      <c r="F26" s="111">
        <v>11</v>
      </c>
      <c r="G26" s="111">
        <v>10</v>
      </c>
      <c r="H26" s="111">
        <v>-20</v>
      </c>
      <c r="I26" s="111">
        <v>5</v>
      </c>
      <c r="J26" s="111">
        <v>-12</v>
      </c>
      <c r="K26" s="111">
        <v>4</v>
      </c>
      <c r="L26" s="111">
        <v>12</v>
      </c>
      <c r="M26" s="111">
        <v>6</v>
      </c>
      <c r="N26" s="111">
        <v>5</v>
      </c>
      <c r="O26" s="111">
        <v>2</v>
      </c>
      <c r="P26" s="111">
        <v>-2</v>
      </c>
      <c r="Q26" s="111">
        <v>6</v>
      </c>
      <c r="R26" s="111">
        <v>12</v>
      </c>
      <c r="S26" s="111">
        <v>-16</v>
      </c>
      <c r="T26" s="111">
        <v>11</v>
      </c>
      <c r="U26" s="111">
        <v>-18</v>
      </c>
      <c r="V26" s="111">
        <v>-15</v>
      </c>
      <c r="W26" s="111">
        <v>-16</v>
      </c>
      <c r="X26" s="111">
        <v>5</v>
      </c>
      <c r="Y26" s="111">
        <v>11</v>
      </c>
      <c r="Z26" s="111"/>
    </row>
    <row r="27" spans="1:26">
      <c r="A27" s="112"/>
      <c r="B27" s="111"/>
      <c r="C27" s="111"/>
      <c r="D27" s="111"/>
      <c r="E27" s="111"/>
      <c r="F27" s="111"/>
      <c r="G27" s="111"/>
      <c r="H27" s="111"/>
      <c r="I27" s="111"/>
      <c r="J27" s="111"/>
      <c r="K27" s="111"/>
      <c r="L27" s="111"/>
      <c r="M27" s="111"/>
      <c r="N27" s="111"/>
      <c r="O27" s="111"/>
      <c r="P27" s="111"/>
      <c r="Q27" s="111"/>
      <c r="R27" s="111"/>
      <c r="S27" s="111"/>
      <c r="T27" s="111"/>
      <c r="U27" s="111"/>
      <c r="V27" s="111"/>
      <c r="W27" s="111"/>
      <c r="X27" s="111"/>
      <c r="Y27" s="111"/>
      <c r="Z27" s="111"/>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8"/>
  </sheetPr>
  <dimension ref="A1:Z12"/>
  <sheetViews>
    <sheetView workbookViewId="0">
      <selection activeCell="B1" sqref="B1:Y1"/>
    </sheetView>
  </sheetViews>
  <sheetFormatPr baseColWidth="10" defaultRowHeight="16"/>
  <sheetData>
    <row r="1" spans="1:26">
      <c r="B1">
        <v>1</v>
      </c>
      <c r="C1">
        <v>2</v>
      </c>
      <c r="D1">
        <v>3</v>
      </c>
      <c r="E1">
        <v>4</v>
      </c>
      <c r="F1">
        <v>5</v>
      </c>
      <c r="G1">
        <v>6</v>
      </c>
      <c r="H1">
        <v>7</v>
      </c>
      <c r="I1">
        <v>8</v>
      </c>
      <c r="J1">
        <v>9</v>
      </c>
      <c r="K1">
        <v>10</v>
      </c>
      <c r="L1">
        <v>11</v>
      </c>
      <c r="M1">
        <v>12</v>
      </c>
      <c r="N1">
        <v>13</v>
      </c>
      <c r="O1">
        <v>14</v>
      </c>
      <c r="P1">
        <v>15</v>
      </c>
      <c r="Q1">
        <v>16</v>
      </c>
      <c r="R1">
        <v>17</v>
      </c>
      <c r="S1">
        <v>18</v>
      </c>
      <c r="T1">
        <v>19</v>
      </c>
      <c r="U1">
        <v>20</v>
      </c>
      <c r="V1">
        <v>21</v>
      </c>
      <c r="W1">
        <v>22</v>
      </c>
      <c r="X1">
        <v>23</v>
      </c>
      <c r="Y1">
        <v>24</v>
      </c>
    </row>
    <row r="2" spans="1:26">
      <c r="A2" s="111" t="s">
        <v>79</v>
      </c>
      <c r="B2" s="111">
        <v>36</v>
      </c>
      <c r="C2" s="111">
        <v>41</v>
      </c>
      <c r="D2" s="111">
        <v>54</v>
      </c>
      <c r="E2" s="111">
        <v>39</v>
      </c>
      <c r="F2" s="111">
        <v>48</v>
      </c>
      <c r="G2" s="111">
        <v>50</v>
      </c>
      <c r="H2" s="111">
        <v>64</v>
      </c>
      <c r="I2" s="111">
        <v>56</v>
      </c>
      <c r="J2" s="111">
        <v>57</v>
      </c>
      <c r="K2" s="111">
        <v>66</v>
      </c>
      <c r="L2" s="111">
        <v>55</v>
      </c>
      <c r="M2" s="111">
        <v>59</v>
      </c>
      <c r="N2" s="111">
        <v>74</v>
      </c>
      <c r="O2" s="111">
        <v>67</v>
      </c>
      <c r="P2" s="111">
        <v>81</v>
      </c>
      <c r="Q2" s="111">
        <v>83</v>
      </c>
      <c r="R2" s="111">
        <v>85</v>
      </c>
      <c r="S2" s="111">
        <v>81</v>
      </c>
      <c r="T2" s="111">
        <v>80</v>
      </c>
      <c r="U2" s="111">
        <v>73</v>
      </c>
      <c r="V2" s="111">
        <v>50</v>
      </c>
      <c r="W2" s="111">
        <v>66</v>
      </c>
      <c r="X2" s="111">
        <v>76</v>
      </c>
      <c r="Y2" s="111">
        <v>65</v>
      </c>
      <c r="Z2" s="111"/>
    </row>
    <row r="3" spans="1:26">
      <c r="A3" s="111" t="s">
        <v>80</v>
      </c>
      <c r="B3" s="111">
        <v>89</v>
      </c>
      <c r="C3" s="111">
        <v>90</v>
      </c>
      <c r="D3" s="111">
        <v>32</v>
      </c>
      <c r="E3" s="111">
        <v>108</v>
      </c>
      <c r="F3" s="111">
        <v>126</v>
      </c>
      <c r="G3" s="111">
        <v>85</v>
      </c>
      <c r="H3" s="111">
        <v>61</v>
      </c>
      <c r="I3" s="111">
        <v>8</v>
      </c>
      <c r="J3" s="111">
        <v>25</v>
      </c>
      <c r="K3" s="111">
        <v>82</v>
      </c>
      <c r="L3" s="111">
        <v>56</v>
      </c>
      <c r="M3" s="111">
        <v>55</v>
      </c>
      <c r="N3" s="111">
        <v>47</v>
      </c>
      <c r="O3" s="111">
        <v>69</v>
      </c>
      <c r="P3" s="111">
        <v>52</v>
      </c>
      <c r="Q3" s="111">
        <v>40</v>
      </c>
      <c r="R3" s="111">
        <v>26</v>
      </c>
      <c r="S3" s="111">
        <v>47</v>
      </c>
      <c r="T3" s="111">
        <v>72</v>
      </c>
      <c r="U3" s="111">
        <v>41</v>
      </c>
      <c r="V3" s="111">
        <v>96</v>
      </c>
      <c r="W3" s="111">
        <v>55</v>
      </c>
      <c r="X3" s="111">
        <v>44</v>
      </c>
      <c r="Y3" s="111">
        <v>15</v>
      </c>
      <c r="Z3" s="111"/>
    </row>
    <row r="4" spans="1:26">
      <c r="A4" s="111" t="s">
        <v>82</v>
      </c>
      <c r="B4" s="111">
        <v>73</v>
      </c>
      <c r="C4" s="111">
        <v>58</v>
      </c>
      <c r="D4" s="111">
        <v>92</v>
      </c>
      <c r="E4" s="111">
        <v>59</v>
      </c>
      <c r="F4" s="111">
        <v>74</v>
      </c>
      <c r="G4" s="111">
        <v>79</v>
      </c>
      <c r="H4" s="111">
        <v>51</v>
      </c>
      <c r="I4" s="111">
        <v>68</v>
      </c>
      <c r="J4" s="111">
        <v>-16</v>
      </c>
      <c r="K4" s="111">
        <v>44</v>
      </c>
      <c r="L4" s="111">
        <v>69</v>
      </c>
      <c r="M4" s="111">
        <v>35</v>
      </c>
      <c r="N4" s="111">
        <v>47</v>
      </c>
      <c r="O4" s="111">
        <v>47</v>
      </c>
      <c r="P4" s="111">
        <v>59</v>
      </c>
      <c r="Q4" s="111">
        <v>65</v>
      </c>
      <c r="R4" s="111">
        <v>34</v>
      </c>
      <c r="S4" s="111">
        <v>49</v>
      </c>
      <c r="T4" s="111">
        <v>97</v>
      </c>
      <c r="U4" s="111">
        <v>82</v>
      </c>
      <c r="V4" s="111">
        <v>24</v>
      </c>
      <c r="W4" s="111">
        <v>72</v>
      </c>
      <c r="X4" s="111">
        <v>70</v>
      </c>
      <c r="Y4" s="111">
        <v>82</v>
      </c>
      <c r="Z4" s="111"/>
    </row>
    <row r="5" spans="1:26">
      <c r="A5" s="111" t="s">
        <v>81</v>
      </c>
      <c r="B5" s="111">
        <v>42</v>
      </c>
      <c r="C5" s="111">
        <v>36</v>
      </c>
      <c r="D5" s="111">
        <v>-17</v>
      </c>
      <c r="E5" s="111">
        <v>28</v>
      </c>
      <c r="F5" s="111">
        <v>62</v>
      </c>
      <c r="G5" s="111">
        <v>40</v>
      </c>
      <c r="H5" s="111">
        <v>54</v>
      </c>
      <c r="I5" s="111">
        <v>46</v>
      </c>
      <c r="J5" s="111">
        <v>74</v>
      </c>
      <c r="K5" s="111">
        <v>66</v>
      </c>
      <c r="L5" s="111">
        <v>76</v>
      </c>
      <c r="M5" s="111">
        <v>38</v>
      </c>
      <c r="N5" s="111">
        <v>58</v>
      </c>
      <c r="O5" s="111">
        <v>25</v>
      </c>
      <c r="P5" s="111">
        <v>39</v>
      </c>
      <c r="Q5" s="111">
        <v>49</v>
      </c>
      <c r="R5" s="111">
        <v>65</v>
      </c>
      <c r="S5" s="111">
        <v>49</v>
      </c>
      <c r="T5" s="111">
        <v>33</v>
      </c>
      <c r="U5" s="111">
        <v>54</v>
      </c>
      <c r="V5" s="111">
        <v>45</v>
      </c>
      <c r="W5" s="111">
        <v>82</v>
      </c>
      <c r="X5" s="111">
        <v>47</v>
      </c>
      <c r="Y5" s="111">
        <v>55</v>
      </c>
      <c r="Z5" s="111"/>
    </row>
    <row r="6" spans="1:26">
      <c r="A6" s="111" t="s">
        <v>86</v>
      </c>
      <c r="B6" s="111">
        <v>20</v>
      </c>
      <c r="C6" s="111">
        <v>9</v>
      </c>
      <c r="D6" s="111">
        <v>35</v>
      </c>
      <c r="E6" s="111">
        <v>32</v>
      </c>
      <c r="F6" s="111">
        <v>29</v>
      </c>
      <c r="G6" s="111">
        <v>-7</v>
      </c>
      <c r="H6" s="111">
        <v>15</v>
      </c>
      <c r="I6" s="111">
        <v>13</v>
      </c>
      <c r="J6" s="111">
        <v>38</v>
      </c>
      <c r="K6" s="111">
        <v>10</v>
      </c>
      <c r="L6" s="111">
        <v>27</v>
      </c>
      <c r="M6" s="111">
        <v>31</v>
      </c>
      <c r="N6" s="111">
        <v>23</v>
      </c>
      <c r="O6" s="111">
        <v>21</v>
      </c>
      <c r="P6" s="111">
        <v>17</v>
      </c>
      <c r="Q6" s="111">
        <v>11</v>
      </c>
      <c r="R6" s="111">
        <v>16</v>
      </c>
      <c r="S6" s="111">
        <v>18</v>
      </c>
      <c r="T6" s="111">
        <v>5</v>
      </c>
      <c r="U6" s="111">
        <v>-5</v>
      </c>
      <c r="V6" s="111">
        <v>-4</v>
      </c>
      <c r="W6" s="111">
        <v>14</v>
      </c>
      <c r="X6" s="111">
        <v>9</v>
      </c>
      <c r="Y6" s="111">
        <v>18</v>
      </c>
      <c r="Z6" s="111"/>
    </row>
    <row r="7" spans="1:26">
      <c r="A7" s="111" t="s">
        <v>84</v>
      </c>
      <c r="B7" s="111">
        <v>9</v>
      </c>
      <c r="C7" s="111">
        <v>19</v>
      </c>
      <c r="D7" s="111">
        <v>20</v>
      </c>
      <c r="E7" s="111">
        <v>20</v>
      </c>
      <c r="F7" s="111">
        <v>26</v>
      </c>
      <c r="G7" s="111">
        <v>19</v>
      </c>
      <c r="H7" s="111">
        <v>21</v>
      </c>
      <c r="I7" s="111">
        <v>-65</v>
      </c>
      <c r="J7" s="111">
        <v>34</v>
      </c>
      <c r="K7" s="111">
        <v>11</v>
      </c>
      <c r="L7" s="111">
        <v>41</v>
      </c>
      <c r="M7" s="111">
        <v>30</v>
      </c>
      <c r="N7" s="111">
        <v>10</v>
      </c>
      <c r="O7" s="111">
        <v>7</v>
      </c>
      <c r="P7" s="111">
        <v>16</v>
      </c>
      <c r="Q7" s="111">
        <v>11</v>
      </c>
      <c r="R7" s="111">
        <v>16</v>
      </c>
      <c r="S7" s="111">
        <v>10</v>
      </c>
      <c r="T7" s="111">
        <v>25</v>
      </c>
      <c r="U7" s="111">
        <v>34</v>
      </c>
      <c r="V7" s="111">
        <v>-29</v>
      </c>
      <c r="W7" s="111">
        <v>27</v>
      </c>
      <c r="X7" s="111">
        <v>14</v>
      </c>
      <c r="Y7" s="111">
        <v>30</v>
      </c>
      <c r="Z7" s="111"/>
    </row>
    <row r="8" spans="1:26">
      <c r="A8" s="111" t="s">
        <v>88</v>
      </c>
      <c r="B8" s="111">
        <v>12</v>
      </c>
      <c r="C8" s="111">
        <v>-13</v>
      </c>
      <c r="D8" s="111">
        <v>6</v>
      </c>
      <c r="E8" s="111">
        <v>11</v>
      </c>
      <c r="F8" s="111">
        <v>28</v>
      </c>
      <c r="G8" s="111">
        <v>29</v>
      </c>
      <c r="H8" s="111">
        <v>5</v>
      </c>
      <c r="I8" s="111">
        <v>-12</v>
      </c>
      <c r="J8" s="111">
        <v>31</v>
      </c>
      <c r="K8" s="111">
        <v>24</v>
      </c>
      <c r="L8" s="111">
        <v>21</v>
      </c>
      <c r="M8" s="111">
        <v>-12</v>
      </c>
      <c r="N8" s="111">
        <v>-10</v>
      </c>
      <c r="O8" s="111">
        <v>18</v>
      </c>
      <c r="P8" s="111">
        <v>17</v>
      </c>
      <c r="Q8" s="111">
        <v>18</v>
      </c>
      <c r="R8" s="111">
        <v>2</v>
      </c>
      <c r="S8" s="111">
        <v>11</v>
      </c>
      <c r="T8" s="111">
        <v>14</v>
      </c>
      <c r="U8" s="111">
        <v>21</v>
      </c>
      <c r="V8" s="111">
        <v>71</v>
      </c>
      <c r="W8" s="111">
        <v>-12</v>
      </c>
      <c r="X8" s="111">
        <v>9</v>
      </c>
      <c r="Y8" s="111">
        <v>27</v>
      </c>
      <c r="Z8" s="111"/>
    </row>
    <row r="9" spans="1:26">
      <c r="A9" s="111" t="s">
        <v>85</v>
      </c>
      <c r="B9" s="111">
        <v>7</v>
      </c>
      <c r="C9" s="111">
        <v>4</v>
      </c>
      <c r="D9" s="111">
        <v>24</v>
      </c>
      <c r="E9" s="111">
        <v>-4</v>
      </c>
      <c r="F9" s="111">
        <v>-14</v>
      </c>
      <c r="G9" s="111">
        <v>44</v>
      </c>
      <c r="H9" s="111">
        <v>12</v>
      </c>
      <c r="I9" s="111">
        <v>12</v>
      </c>
      <c r="J9" s="111">
        <v>19</v>
      </c>
      <c r="K9" s="111">
        <v>10</v>
      </c>
      <c r="L9" s="111">
        <v>23</v>
      </c>
      <c r="M9" s="111">
        <v>16</v>
      </c>
      <c r="N9" s="111">
        <v>25</v>
      </c>
      <c r="O9" s="111">
        <v>18</v>
      </c>
      <c r="P9" s="111">
        <v>15</v>
      </c>
      <c r="Q9" s="111">
        <v>-15</v>
      </c>
      <c r="R9" s="111">
        <v>-14</v>
      </c>
      <c r="S9" s="111">
        <v>22</v>
      </c>
      <c r="T9" s="111">
        <v>28</v>
      </c>
      <c r="U9" s="111">
        <v>-13</v>
      </c>
      <c r="V9" s="111">
        <v>36</v>
      </c>
      <c r="W9" s="111">
        <v>16</v>
      </c>
      <c r="X9" s="111">
        <v>14</v>
      </c>
      <c r="Y9" s="111">
        <v>11</v>
      </c>
      <c r="Z9" s="111"/>
    </row>
    <row r="10" spans="1:26">
      <c r="A10" s="111" t="s">
        <v>87</v>
      </c>
      <c r="B10" s="111">
        <v>10</v>
      </c>
      <c r="C10" s="111">
        <v>-4</v>
      </c>
      <c r="D10" s="111">
        <v>7</v>
      </c>
      <c r="E10" s="111">
        <v>-8</v>
      </c>
      <c r="F10" s="111">
        <v>4</v>
      </c>
      <c r="G10" s="111">
        <v>29</v>
      </c>
      <c r="H10" s="111">
        <v>2</v>
      </c>
      <c r="I10" s="111">
        <v>12</v>
      </c>
      <c r="J10" s="111">
        <v>13</v>
      </c>
      <c r="K10" s="111">
        <v>8</v>
      </c>
      <c r="L10" s="111">
        <v>9</v>
      </c>
      <c r="M10" s="111">
        <v>3</v>
      </c>
      <c r="N10" s="111">
        <v>2</v>
      </c>
      <c r="O10" s="111">
        <v>-14</v>
      </c>
      <c r="P10" s="111">
        <v>-2</v>
      </c>
      <c r="Q10" s="111">
        <v>9</v>
      </c>
      <c r="R10" s="111">
        <v>17</v>
      </c>
      <c r="S10" s="111">
        <v>8</v>
      </c>
      <c r="T10" s="111">
        <v>6</v>
      </c>
      <c r="U10" s="111">
        <v>10</v>
      </c>
      <c r="V10" s="111">
        <v>18</v>
      </c>
      <c r="W10" s="111">
        <v>8</v>
      </c>
      <c r="X10" s="111">
        <v>35</v>
      </c>
      <c r="Y10" s="111">
        <v>-3</v>
      </c>
      <c r="Z10" s="111"/>
    </row>
    <row r="11" spans="1:26">
      <c r="A11" s="111" t="s">
        <v>83</v>
      </c>
      <c r="B11" s="111">
        <v>4</v>
      </c>
      <c r="C11" s="111">
        <v>14</v>
      </c>
      <c r="D11" s="111">
        <v>5</v>
      </c>
      <c r="E11" s="111">
        <v>-10</v>
      </c>
      <c r="F11" s="111">
        <v>20</v>
      </c>
      <c r="G11" s="111">
        <v>4</v>
      </c>
      <c r="H11" s="111">
        <v>-21</v>
      </c>
      <c r="I11" s="111">
        <v>11</v>
      </c>
      <c r="J11" s="111">
        <v>-26</v>
      </c>
      <c r="K11" s="111">
        <v>4</v>
      </c>
      <c r="L11" s="111">
        <v>11</v>
      </c>
      <c r="M11" s="111">
        <v>15</v>
      </c>
      <c r="N11" s="111">
        <v>9</v>
      </c>
      <c r="O11" s="111">
        <v>5</v>
      </c>
      <c r="P11" s="111">
        <v>-2</v>
      </c>
      <c r="Q11" s="111">
        <v>22</v>
      </c>
      <c r="R11" s="111">
        <v>31</v>
      </c>
      <c r="S11" s="111">
        <v>-7</v>
      </c>
      <c r="T11" s="111">
        <v>19</v>
      </c>
      <c r="U11" s="111">
        <v>-5</v>
      </c>
      <c r="V11" s="111">
        <v>-20</v>
      </c>
      <c r="W11" s="111">
        <v>-5</v>
      </c>
      <c r="X11" s="111">
        <v>-12</v>
      </c>
      <c r="Y11" s="111">
        <v>-10</v>
      </c>
      <c r="Z11" s="111"/>
    </row>
    <row r="12" spans="1:26">
      <c r="A12" s="112" t="s">
        <v>55</v>
      </c>
      <c r="B12" s="111">
        <v>30.2</v>
      </c>
      <c r="C12" s="111">
        <v>25.4</v>
      </c>
      <c r="D12" s="111">
        <v>25.8</v>
      </c>
      <c r="E12" s="111">
        <v>27.5</v>
      </c>
      <c r="F12" s="111">
        <v>40.299999999999997</v>
      </c>
      <c r="G12" s="111">
        <v>37.200000000000003</v>
      </c>
      <c r="H12" s="111">
        <v>26.4</v>
      </c>
      <c r="I12" s="111">
        <v>14.9</v>
      </c>
      <c r="J12" s="111">
        <v>24.9</v>
      </c>
      <c r="K12" s="111">
        <v>32.5</v>
      </c>
      <c r="L12" s="111">
        <v>38.799999999999997</v>
      </c>
      <c r="M12" s="111">
        <v>27</v>
      </c>
      <c r="N12" s="111">
        <v>28.5</v>
      </c>
      <c r="O12" s="111">
        <v>26.3</v>
      </c>
      <c r="P12" s="111">
        <v>29.2</v>
      </c>
      <c r="Q12" s="111">
        <v>29.3</v>
      </c>
      <c r="R12" s="111">
        <v>27.8</v>
      </c>
      <c r="S12" s="111">
        <v>28.8</v>
      </c>
      <c r="T12" s="111">
        <v>37.9</v>
      </c>
      <c r="U12" s="111">
        <v>29.2</v>
      </c>
      <c r="V12" s="111">
        <v>28.7</v>
      </c>
      <c r="W12" s="111">
        <v>32.299999999999997</v>
      </c>
      <c r="X12" s="111">
        <v>30.6</v>
      </c>
      <c r="Y12" s="111">
        <v>29</v>
      </c>
      <c r="Z12" s="111"/>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839946-3B26-DB47-B681-EBBA3D111771}">
  <sheetPr>
    <tabColor theme="7"/>
  </sheetPr>
  <dimension ref="A1:Y22"/>
  <sheetViews>
    <sheetView workbookViewId="0">
      <selection activeCell="Y22" sqref="A1:Y22"/>
    </sheetView>
  </sheetViews>
  <sheetFormatPr baseColWidth="10" defaultRowHeight="16"/>
  <sheetData>
    <row r="1" spans="1:25">
      <c r="B1">
        <v>1</v>
      </c>
      <c r="C1">
        <v>2</v>
      </c>
      <c r="D1">
        <v>3</v>
      </c>
      <c r="E1">
        <v>4</v>
      </c>
      <c r="F1">
        <v>5</v>
      </c>
      <c r="G1">
        <v>6</v>
      </c>
      <c r="H1">
        <v>7</v>
      </c>
      <c r="I1">
        <v>8</v>
      </c>
      <c r="J1">
        <v>9</v>
      </c>
      <c r="K1">
        <v>10</v>
      </c>
      <c r="L1">
        <v>11</v>
      </c>
      <c r="M1">
        <v>12</v>
      </c>
      <c r="N1">
        <v>13</v>
      </c>
      <c r="O1">
        <v>14</v>
      </c>
      <c r="P1">
        <v>15</v>
      </c>
      <c r="Q1">
        <v>16</v>
      </c>
      <c r="R1">
        <v>17</v>
      </c>
      <c r="S1">
        <v>18</v>
      </c>
      <c r="T1">
        <v>19</v>
      </c>
      <c r="U1">
        <v>20</v>
      </c>
      <c r="V1">
        <v>21</v>
      </c>
      <c r="W1">
        <v>22</v>
      </c>
      <c r="X1">
        <v>23</v>
      </c>
      <c r="Y1">
        <v>24</v>
      </c>
    </row>
    <row r="2" spans="1:25">
      <c r="A2" t="s">
        <v>56</v>
      </c>
      <c r="B2" t="s">
        <v>120</v>
      </c>
      <c r="C2" t="s">
        <v>120</v>
      </c>
      <c r="D2" t="s">
        <v>120</v>
      </c>
      <c r="E2" t="s">
        <v>120</v>
      </c>
      <c r="F2" t="s">
        <v>120</v>
      </c>
      <c r="G2" t="s">
        <v>120</v>
      </c>
      <c r="H2" t="s">
        <v>120</v>
      </c>
      <c r="I2" t="s">
        <v>120</v>
      </c>
      <c r="J2" t="s">
        <v>120</v>
      </c>
      <c r="K2" t="s">
        <v>120</v>
      </c>
      <c r="L2" t="s">
        <v>120</v>
      </c>
      <c r="M2" t="s">
        <v>120</v>
      </c>
      <c r="N2" t="s">
        <v>120</v>
      </c>
      <c r="O2" t="s">
        <v>120</v>
      </c>
      <c r="P2" t="s">
        <v>120</v>
      </c>
      <c r="Q2" t="s">
        <v>120</v>
      </c>
      <c r="R2" t="s">
        <v>120</v>
      </c>
      <c r="S2" t="s">
        <v>120</v>
      </c>
      <c r="T2" t="s">
        <v>120</v>
      </c>
      <c r="U2" t="s">
        <v>120</v>
      </c>
      <c r="V2" t="s">
        <v>120</v>
      </c>
      <c r="W2" t="s">
        <v>120</v>
      </c>
      <c r="X2" t="s">
        <v>120</v>
      </c>
      <c r="Y2" t="s">
        <v>120</v>
      </c>
    </row>
    <row r="3" spans="1:25">
      <c r="A3" t="s">
        <v>57</v>
      </c>
      <c r="B3" t="s">
        <v>79</v>
      </c>
      <c r="C3" t="s">
        <v>79</v>
      </c>
      <c r="D3" t="s">
        <v>79</v>
      </c>
      <c r="E3" t="s">
        <v>79</v>
      </c>
      <c r="F3" t="s">
        <v>79</v>
      </c>
      <c r="G3" t="s">
        <v>79</v>
      </c>
      <c r="H3" t="s">
        <v>79</v>
      </c>
      <c r="I3" t="s">
        <v>79</v>
      </c>
      <c r="J3" t="s">
        <v>79</v>
      </c>
      <c r="K3" t="s">
        <v>79</v>
      </c>
      <c r="L3" t="s">
        <v>79</v>
      </c>
      <c r="M3" t="s">
        <v>79</v>
      </c>
      <c r="N3" t="s">
        <v>79</v>
      </c>
      <c r="O3" t="s">
        <v>79</v>
      </c>
      <c r="P3" t="s">
        <v>79</v>
      </c>
      <c r="Q3" t="s">
        <v>79</v>
      </c>
      <c r="R3" t="s">
        <v>79</v>
      </c>
      <c r="S3" t="s">
        <v>79</v>
      </c>
      <c r="T3" t="s">
        <v>79</v>
      </c>
      <c r="U3" t="s">
        <v>79</v>
      </c>
      <c r="V3" t="s">
        <v>79</v>
      </c>
      <c r="W3" t="s">
        <v>79</v>
      </c>
      <c r="X3" t="s">
        <v>79</v>
      </c>
      <c r="Y3" t="s">
        <v>79</v>
      </c>
    </row>
    <row r="4" spans="1:25">
      <c r="A4" t="s">
        <v>58</v>
      </c>
      <c r="B4" t="s">
        <v>79</v>
      </c>
      <c r="C4" t="s">
        <v>79</v>
      </c>
      <c r="D4" t="s">
        <v>79</v>
      </c>
      <c r="E4" t="s">
        <v>79</v>
      </c>
      <c r="F4" t="s">
        <v>79</v>
      </c>
      <c r="G4" t="s">
        <v>79</v>
      </c>
      <c r="H4" t="s">
        <v>79</v>
      </c>
      <c r="I4" t="s">
        <v>79</v>
      </c>
      <c r="J4" t="s">
        <v>79</v>
      </c>
      <c r="K4" t="s">
        <v>79</v>
      </c>
      <c r="L4" t="s">
        <v>79</v>
      </c>
      <c r="M4" t="s">
        <v>79</v>
      </c>
      <c r="N4" t="s">
        <v>79</v>
      </c>
      <c r="O4" t="s">
        <v>79</v>
      </c>
      <c r="P4" t="s">
        <v>79</v>
      </c>
      <c r="Q4" t="s">
        <v>79</v>
      </c>
      <c r="R4" t="s">
        <v>79</v>
      </c>
      <c r="S4" t="s">
        <v>79</v>
      </c>
      <c r="T4" t="s">
        <v>79</v>
      </c>
      <c r="U4" t="s">
        <v>79</v>
      </c>
      <c r="V4" t="s">
        <v>79</v>
      </c>
      <c r="W4" t="s">
        <v>79</v>
      </c>
      <c r="X4" t="s">
        <v>79</v>
      </c>
      <c r="Y4" t="s">
        <v>79</v>
      </c>
    </row>
    <row r="5" spans="1:25">
      <c r="A5" t="s">
        <v>62</v>
      </c>
      <c r="B5" t="s">
        <v>81</v>
      </c>
      <c r="C5" t="s">
        <v>81</v>
      </c>
      <c r="D5" t="s">
        <v>81</v>
      </c>
      <c r="E5" t="s">
        <v>81</v>
      </c>
      <c r="F5" t="s">
        <v>81</v>
      </c>
      <c r="G5" t="s">
        <v>81</v>
      </c>
      <c r="H5" t="s">
        <v>81</v>
      </c>
      <c r="I5" t="s">
        <v>81</v>
      </c>
      <c r="J5" t="s">
        <v>81</v>
      </c>
      <c r="K5" t="s">
        <v>81</v>
      </c>
      <c r="L5" t="s">
        <v>81</v>
      </c>
      <c r="M5" t="s">
        <v>81</v>
      </c>
      <c r="N5" t="s">
        <v>81</v>
      </c>
      <c r="O5" t="s">
        <v>81</v>
      </c>
      <c r="P5" t="s">
        <v>81</v>
      </c>
      <c r="Q5" t="s">
        <v>81</v>
      </c>
      <c r="R5" t="s">
        <v>81</v>
      </c>
      <c r="S5" t="s">
        <v>81</v>
      </c>
      <c r="T5" t="s">
        <v>81</v>
      </c>
      <c r="U5" t="s">
        <v>81</v>
      </c>
      <c r="V5" t="s">
        <v>81</v>
      </c>
      <c r="W5" t="s">
        <v>81</v>
      </c>
      <c r="X5" t="s">
        <v>81</v>
      </c>
      <c r="Y5" t="s">
        <v>81</v>
      </c>
    </row>
    <row r="6" spans="1:25">
      <c r="A6" t="s">
        <v>59</v>
      </c>
      <c r="B6" t="s">
        <v>81</v>
      </c>
      <c r="C6" t="s">
        <v>81</v>
      </c>
      <c r="D6" t="s">
        <v>81</v>
      </c>
      <c r="E6" t="s">
        <v>81</v>
      </c>
      <c r="F6" t="s">
        <v>81</v>
      </c>
      <c r="G6" t="s">
        <v>81</v>
      </c>
      <c r="H6" t="s">
        <v>81</v>
      </c>
      <c r="I6" t="s">
        <v>81</v>
      </c>
      <c r="J6" t="s">
        <v>81</v>
      </c>
      <c r="K6" t="s">
        <v>81</v>
      </c>
      <c r="L6" t="s">
        <v>81</v>
      </c>
      <c r="M6" t="s">
        <v>81</v>
      </c>
      <c r="N6" t="s">
        <v>81</v>
      </c>
      <c r="O6" t="s">
        <v>81</v>
      </c>
      <c r="P6" t="s">
        <v>81</v>
      </c>
      <c r="Q6" t="s">
        <v>81</v>
      </c>
      <c r="R6" t="s">
        <v>81</v>
      </c>
      <c r="S6" t="s">
        <v>81</v>
      </c>
      <c r="T6" t="s">
        <v>81</v>
      </c>
      <c r="U6" t="s">
        <v>81</v>
      </c>
      <c r="V6" t="s">
        <v>81</v>
      </c>
      <c r="W6" t="s">
        <v>81</v>
      </c>
      <c r="X6" t="s">
        <v>81</v>
      </c>
      <c r="Y6" t="s">
        <v>81</v>
      </c>
    </row>
    <row r="7" spans="1:25">
      <c r="A7" t="s">
        <v>60</v>
      </c>
      <c r="B7" t="s">
        <v>82</v>
      </c>
      <c r="C7" t="s">
        <v>82</v>
      </c>
      <c r="D7" t="s">
        <v>82</v>
      </c>
      <c r="E7" t="s">
        <v>82</v>
      </c>
      <c r="F7" t="s">
        <v>82</v>
      </c>
      <c r="G7" t="s">
        <v>82</v>
      </c>
      <c r="H7" t="s">
        <v>82</v>
      </c>
      <c r="I7" t="s">
        <v>82</v>
      </c>
      <c r="J7" t="s">
        <v>82</v>
      </c>
      <c r="K7" t="s">
        <v>82</v>
      </c>
      <c r="L7" t="s">
        <v>82</v>
      </c>
      <c r="M7" t="s">
        <v>82</v>
      </c>
      <c r="N7" t="s">
        <v>82</v>
      </c>
      <c r="O7" t="s">
        <v>82</v>
      </c>
      <c r="P7" t="s">
        <v>82</v>
      </c>
      <c r="Q7" t="s">
        <v>82</v>
      </c>
      <c r="R7" t="s">
        <v>82</v>
      </c>
      <c r="S7" t="s">
        <v>82</v>
      </c>
      <c r="T7" t="s">
        <v>82</v>
      </c>
      <c r="U7" t="s">
        <v>82</v>
      </c>
      <c r="V7" t="s">
        <v>82</v>
      </c>
      <c r="W7" t="s">
        <v>82</v>
      </c>
      <c r="X7" t="s">
        <v>82</v>
      </c>
      <c r="Y7" t="s">
        <v>82</v>
      </c>
    </row>
    <row r="8" spans="1:25">
      <c r="A8" t="s">
        <v>61</v>
      </c>
      <c r="B8" t="s">
        <v>82</v>
      </c>
      <c r="C8" t="s">
        <v>82</v>
      </c>
      <c r="D8" t="s">
        <v>82</v>
      </c>
      <c r="E8" t="s">
        <v>82</v>
      </c>
      <c r="F8" t="s">
        <v>82</v>
      </c>
      <c r="G8" t="s">
        <v>82</v>
      </c>
      <c r="H8" t="s">
        <v>82</v>
      </c>
      <c r="I8" t="s">
        <v>82</v>
      </c>
      <c r="J8" t="s">
        <v>82</v>
      </c>
      <c r="K8" t="s">
        <v>82</v>
      </c>
      <c r="L8" t="s">
        <v>82</v>
      </c>
      <c r="M8" t="s">
        <v>82</v>
      </c>
      <c r="N8" t="s">
        <v>82</v>
      </c>
      <c r="O8" t="s">
        <v>82</v>
      </c>
      <c r="P8" t="s">
        <v>82</v>
      </c>
      <c r="Q8" t="s">
        <v>82</v>
      </c>
      <c r="R8" t="s">
        <v>82</v>
      </c>
      <c r="S8" t="s">
        <v>82</v>
      </c>
      <c r="T8" t="s">
        <v>82</v>
      </c>
      <c r="U8" t="s">
        <v>82</v>
      </c>
      <c r="V8" t="s">
        <v>82</v>
      </c>
      <c r="W8" t="s">
        <v>82</v>
      </c>
      <c r="X8" t="s">
        <v>82</v>
      </c>
      <c r="Y8" t="s">
        <v>82</v>
      </c>
    </row>
    <row r="9" spans="1:25">
      <c r="A9" t="s">
        <v>73</v>
      </c>
      <c r="B9" t="s">
        <v>121</v>
      </c>
      <c r="C9" t="s">
        <v>121</v>
      </c>
      <c r="D9" t="s">
        <v>121</v>
      </c>
      <c r="E9" t="s">
        <v>121</v>
      </c>
      <c r="F9" t="s">
        <v>121</v>
      </c>
      <c r="G9" t="s">
        <v>121</v>
      </c>
      <c r="H9" t="s">
        <v>121</v>
      </c>
      <c r="I9" t="s">
        <v>121</v>
      </c>
      <c r="J9" t="s">
        <v>121</v>
      </c>
      <c r="K9" t="s">
        <v>121</v>
      </c>
      <c r="L9" t="s">
        <v>121</v>
      </c>
      <c r="M9" t="s">
        <v>121</v>
      </c>
      <c r="N9" t="s">
        <v>121</v>
      </c>
      <c r="O9" t="s">
        <v>121</v>
      </c>
      <c r="P9" t="s">
        <v>121</v>
      </c>
      <c r="Q9" t="s">
        <v>121</v>
      </c>
      <c r="R9" t="s">
        <v>121</v>
      </c>
      <c r="S9" t="s">
        <v>121</v>
      </c>
      <c r="T9" t="s">
        <v>121</v>
      </c>
      <c r="U9" t="s">
        <v>121</v>
      </c>
      <c r="V9" t="s">
        <v>121</v>
      </c>
      <c r="W9" t="s">
        <v>121</v>
      </c>
      <c r="X9" t="s">
        <v>121</v>
      </c>
      <c r="Y9" t="s">
        <v>121</v>
      </c>
    </row>
    <row r="10" spans="1:25">
      <c r="A10" t="s">
        <v>68</v>
      </c>
      <c r="B10" t="s">
        <v>121</v>
      </c>
      <c r="C10" t="s">
        <v>121</v>
      </c>
      <c r="D10" t="s">
        <v>121</v>
      </c>
      <c r="E10" t="s">
        <v>121</v>
      </c>
      <c r="F10" t="s">
        <v>121</v>
      </c>
      <c r="G10" t="s">
        <v>121</v>
      </c>
      <c r="H10" t="s">
        <v>121</v>
      </c>
      <c r="I10" t="s">
        <v>121</v>
      </c>
      <c r="J10" t="s">
        <v>121</v>
      </c>
      <c r="K10" t="s">
        <v>121</v>
      </c>
      <c r="L10" t="s">
        <v>121</v>
      </c>
      <c r="M10" t="s">
        <v>121</v>
      </c>
      <c r="N10" t="s">
        <v>121</v>
      </c>
      <c r="O10" t="s">
        <v>121</v>
      </c>
      <c r="P10" t="s">
        <v>121</v>
      </c>
      <c r="Q10" t="s">
        <v>121</v>
      </c>
      <c r="R10" t="s">
        <v>121</v>
      </c>
      <c r="S10" t="s">
        <v>121</v>
      </c>
      <c r="T10" t="s">
        <v>121</v>
      </c>
      <c r="U10" t="s">
        <v>121</v>
      </c>
      <c r="V10" t="s">
        <v>121</v>
      </c>
      <c r="W10" t="s">
        <v>121</v>
      </c>
      <c r="X10" t="s">
        <v>121</v>
      </c>
      <c r="Y10" t="s">
        <v>121</v>
      </c>
    </row>
    <row r="11" spans="1:25">
      <c r="A11" t="s">
        <v>76</v>
      </c>
      <c r="B11" t="s">
        <v>88</v>
      </c>
      <c r="C11" t="s">
        <v>88</v>
      </c>
      <c r="D11" t="s">
        <v>88</v>
      </c>
      <c r="E11" t="s">
        <v>88</v>
      </c>
      <c r="F11" t="s">
        <v>88</v>
      </c>
      <c r="G11" t="s">
        <v>88</v>
      </c>
    </row>
    <row r="12" spans="1:25">
      <c r="A12" t="s">
        <v>75</v>
      </c>
      <c r="H12" t="s">
        <v>88</v>
      </c>
      <c r="I12" t="s">
        <v>88</v>
      </c>
      <c r="J12" t="s">
        <v>88</v>
      </c>
      <c r="K12" t="s">
        <v>88</v>
      </c>
      <c r="L12" t="s">
        <v>88</v>
      </c>
      <c r="M12" t="s">
        <v>88</v>
      </c>
      <c r="N12" t="s">
        <v>88</v>
      </c>
      <c r="O12" t="s">
        <v>88</v>
      </c>
      <c r="P12" t="s">
        <v>88</v>
      </c>
      <c r="Q12" t="s">
        <v>88</v>
      </c>
      <c r="R12" t="s">
        <v>88</v>
      </c>
      <c r="S12" t="s">
        <v>88</v>
      </c>
      <c r="T12" t="s">
        <v>88</v>
      </c>
      <c r="U12" t="s">
        <v>88</v>
      </c>
      <c r="V12" t="s">
        <v>88</v>
      </c>
      <c r="W12" t="s">
        <v>88</v>
      </c>
      <c r="X12" t="s">
        <v>88</v>
      </c>
      <c r="Y12" t="s">
        <v>88</v>
      </c>
    </row>
    <row r="13" spans="1:25">
      <c r="A13" t="s">
        <v>72</v>
      </c>
      <c r="B13" t="s">
        <v>88</v>
      </c>
      <c r="C13" t="s">
        <v>88</v>
      </c>
      <c r="D13" t="s">
        <v>88</v>
      </c>
      <c r="E13" t="s">
        <v>88</v>
      </c>
      <c r="F13" t="s">
        <v>88</v>
      </c>
      <c r="G13" t="s">
        <v>88</v>
      </c>
      <c r="H13" t="s">
        <v>88</v>
      </c>
      <c r="I13" t="s">
        <v>88</v>
      </c>
      <c r="J13" t="s">
        <v>88</v>
      </c>
      <c r="K13" t="s">
        <v>88</v>
      </c>
      <c r="L13" t="s">
        <v>88</v>
      </c>
      <c r="M13" t="s">
        <v>88</v>
      </c>
      <c r="N13" t="s">
        <v>88</v>
      </c>
      <c r="O13" t="s">
        <v>88</v>
      </c>
      <c r="P13" t="s">
        <v>88</v>
      </c>
      <c r="Q13" t="s">
        <v>88</v>
      </c>
      <c r="R13" t="s">
        <v>88</v>
      </c>
      <c r="S13" t="s">
        <v>88</v>
      </c>
      <c r="T13" t="s">
        <v>88</v>
      </c>
      <c r="U13" t="s">
        <v>88</v>
      </c>
      <c r="V13" t="s">
        <v>88</v>
      </c>
      <c r="W13" t="s">
        <v>88</v>
      </c>
      <c r="X13" t="s">
        <v>88</v>
      </c>
      <c r="Y13" t="s">
        <v>88</v>
      </c>
    </row>
    <row r="14" spans="1:25">
      <c r="A14" t="s">
        <v>70</v>
      </c>
      <c r="B14" t="s">
        <v>124</v>
      </c>
      <c r="C14" t="s">
        <v>124</v>
      </c>
      <c r="D14" t="s">
        <v>124</v>
      </c>
      <c r="E14" t="s">
        <v>124</v>
      </c>
      <c r="F14" t="s">
        <v>124</v>
      </c>
      <c r="G14" t="s">
        <v>124</v>
      </c>
      <c r="H14" t="s">
        <v>124</v>
      </c>
      <c r="I14" t="s">
        <v>124</v>
      </c>
      <c r="J14" t="s">
        <v>124</v>
      </c>
      <c r="K14" t="s">
        <v>124</v>
      </c>
      <c r="L14" t="s">
        <v>124</v>
      </c>
      <c r="M14" t="s">
        <v>124</v>
      </c>
      <c r="N14" t="s">
        <v>124</v>
      </c>
      <c r="O14" t="s">
        <v>124</v>
      </c>
      <c r="P14" t="s">
        <v>124</v>
      </c>
      <c r="Q14" t="s">
        <v>124</v>
      </c>
      <c r="R14" t="s">
        <v>124</v>
      </c>
      <c r="S14" t="s">
        <v>124</v>
      </c>
      <c r="T14" t="s">
        <v>124</v>
      </c>
      <c r="U14" t="s">
        <v>124</v>
      </c>
      <c r="V14" t="s">
        <v>124</v>
      </c>
      <c r="W14" t="s">
        <v>124</v>
      </c>
      <c r="X14" t="s">
        <v>124</v>
      </c>
      <c r="Y14" t="s">
        <v>124</v>
      </c>
    </row>
    <row r="15" spans="1:25">
      <c r="A15" t="s">
        <v>65</v>
      </c>
      <c r="B15" t="s">
        <v>124</v>
      </c>
      <c r="C15" t="s">
        <v>124</v>
      </c>
      <c r="D15" t="s">
        <v>120</v>
      </c>
      <c r="E15" t="s">
        <v>120</v>
      </c>
      <c r="F15" t="s">
        <v>120</v>
      </c>
      <c r="G15" t="s">
        <v>120</v>
      </c>
      <c r="H15" t="s">
        <v>120</v>
      </c>
      <c r="I15" t="s">
        <v>120</v>
      </c>
      <c r="J15" t="s">
        <v>120</v>
      </c>
      <c r="K15" t="s">
        <v>120</v>
      </c>
      <c r="L15" t="s">
        <v>120</v>
      </c>
      <c r="M15" t="s">
        <v>120</v>
      </c>
      <c r="N15" t="s">
        <v>120</v>
      </c>
      <c r="O15" t="s">
        <v>120</v>
      </c>
      <c r="P15" t="s">
        <v>120</v>
      </c>
      <c r="Q15" t="s">
        <v>120</v>
      </c>
      <c r="R15" t="s">
        <v>120</v>
      </c>
      <c r="S15" t="s">
        <v>120</v>
      </c>
      <c r="T15" t="s">
        <v>120</v>
      </c>
      <c r="U15" t="s">
        <v>120</v>
      </c>
      <c r="V15" t="s">
        <v>120</v>
      </c>
      <c r="W15" t="s">
        <v>120</v>
      </c>
      <c r="X15" t="s">
        <v>120</v>
      </c>
      <c r="Y15" t="s">
        <v>120</v>
      </c>
    </row>
    <row r="16" spans="1:25">
      <c r="A16" t="s">
        <v>71</v>
      </c>
      <c r="B16" s="115" t="s">
        <v>120</v>
      </c>
      <c r="C16" s="115" t="s">
        <v>120</v>
      </c>
      <c r="D16" t="s">
        <v>124</v>
      </c>
      <c r="E16" t="s">
        <v>124</v>
      </c>
      <c r="F16" t="s">
        <v>124</v>
      </c>
      <c r="G16" t="s">
        <v>124</v>
      </c>
      <c r="H16" t="s">
        <v>124</v>
      </c>
      <c r="I16" t="s">
        <v>124</v>
      </c>
      <c r="J16" t="s">
        <v>124</v>
      </c>
      <c r="K16" t="s">
        <v>124</v>
      </c>
      <c r="L16" t="s">
        <v>124</v>
      </c>
      <c r="M16" t="s">
        <v>124</v>
      </c>
      <c r="N16" t="s">
        <v>124</v>
      </c>
      <c r="O16" t="s">
        <v>124</v>
      </c>
      <c r="P16" t="s">
        <v>124</v>
      </c>
      <c r="Q16" t="s">
        <v>124</v>
      </c>
      <c r="R16" t="s">
        <v>124</v>
      </c>
      <c r="S16" t="s">
        <v>124</v>
      </c>
      <c r="T16" t="s">
        <v>124</v>
      </c>
      <c r="U16" t="s">
        <v>124</v>
      </c>
      <c r="V16" t="s">
        <v>124</v>
      </c>
      <c r="W16" t="s">
        <v>124</v>
      </c>
      <c r="X16" t="s">
        <v>124</v>
      </c>
      <c r="Y16" t="s">
        <v>124</v>
      </c>
    </row>
    <row r="17" spans="1:25">
      <c r="A17" t="s">
        <v>64</v>
      </c>
      <c r="B17" t="s">
        <v>83</v>
      </c>
      <c r="C17" t="s">
        <v>83</v>
      </c>
      <c r="D17" t="s">
        <v>83</v>
      </c>
      <c r="E17" t="s">
        <v>83</v>
      </c>
      <c r="F17" t="s">
        <v>83</v>
      </c>
      <c r="G17" t="s">
        <v>83</v>
      </c>
      <c r="H17" t="s">
        <v>83</v>
      </c>
      <c r="I17" t="s">
        <v>83</v>
      </c>
      <c r="J17" t="s">
        <v>83</v>
      </c>
      <c r="K17" t="s">
        <v>83</v>
      </c>
      <c r="L17" t="s">
        <v>83</v>
      </c>
      <c r="M17" t="s">
        <v>83</v>
      </c>
      <c r="N17" t="s">
        <v>83</v>
      </c>
      <c r="O17" t="s">
        <v>83</v>
      </c>
      <c r="P17" t="s">
        <v>83</v>
      </c>
      <c r="Q17" t="s">
        <v>83</v>
      </c>
      <c r="R17" t="s">
        <v>83</v>
      </c>
      <c r="S17" t="s">
        <v>83</v>
      </c>
      <c r="T17" t="s">
        <v>83</v>
      </c>
      <c r="U17" t="s">
        <v>83</v>
      </c>
      <c r="V17" t="s">
        <v>83</v>
      </c>
      <c r="W17" t="s">
        <v>83</v>
      </c>
      <c r="X17" t="s">
        <v>83</v>
      </c>
      <c r="Y17" t="s">
        <v>83</v>
      </c>
    </row>
    <row r="18" spans="1:25">
      <c r="A18" t="s">
        <v>69</v>
      </c>
      <c r="B18" t="s">
        <v>83</v>
      </c>
      <c r="C18" t="s">
        <v>83</v>
      </c>
      <c r="D18" t="s">
        <v>83</v>
      </c>
      <c r="E18" t="s">
        <v>83</v>
      </c>
      <c r="F18" t="s">
        <v>83</v>
      </c>
      <c r="G18" t="s">
        <v>83</v>
      </c>
      <c r="H18" t="s">
        <v>83</v>
      </c>
      <c r="I18" t="s">
        <v>83</v>
      </c>
      <c r="J18" t="s">
        <v>83</v>
      </c>
      <c r="K18" t="s">
        <v>83</v>
      </c>
      <c r="L18" t="s">
        <v>83</v>
      </c>
      <c r="M18" t="s">
        <v>83</v>
      </c>
      <c r="N18" t="s">
        <v>83</v>
      </c>
      <c r="O18" t="s">
        <v>83</v>
      </c>
      <c r="P18" t="s">
        <v>83</v>
      </c>
      <c r="Q18" t="s">
        <v>83</v>
      </c>
      <c r="R18" t="s">
        <v>83</v>
      </c>
      <c r="S18" t="s">
        <v>83</v>
      </c>
      <c r="T18" t="s">
        <v>83</v>
      </c>
      <c r="U18" t="s">
        <v>83</v>
      </c>
      <c r="V18" t="s">
        <v>83</v>
      </c>
      <c r="W18" t="s">
        <v>83</v>
      </c>
      <c r="X18" t="s">
        <v>83</v>
      </c>
      <c r="Y18" t="s">
        <v>83</v>
      </c>
    </row>
    <row r="19" spans="1:25">
      <c r="A19" t="s">
        <v>63</v>
      </c>
      <c r="B19" t="s">
        <v>123</v>
      </c>
      <c r="C19" t="s">
        <v>123</v>
      </c>
      <c r="D19" t="s">
        <v>123</v>
      </c>
      <c r="E19" t="s">
        <v>123</v>
      </c>
      <c r="F19" t="s">
        <v>123</v>
      </c>
      <c r="G19" t="s">
        <v>123</v>
      </c>
      <c r="H19" t="s">
        <v>123</v>
      </c>
      <c r="I19" t="s">
        <v>123</v>
      </c>
      <c r="J19" t="s">
        <v>123</v>
      </c>
      <c r="K19" t="s">
        <v>123</v>
      </c>
      <c r="L19" t="s">
        <v>123</v>
      </c>
      <c r="M19" t="s">
        <v>123</v>
      </c>
      <c r="N19" t="s">
        <v>123</v>
      </c>
      <c r="O19" t="s">
        <v>123</v>
      </c>
      <c r="P19" t="s">
        <v>123</v>
      </c>
      <c r="Q19" t="s">
        <v>123</v>
      </c>
      <c r="R19" t="s">
        <v>123</v>
      </c>
      <c r="S19" t="s">
        <v>123</v>
      </c>
      <c r="T19" t="s">
        <v>123</v>
      </c>
      <c r="U19" t="s">
        <v>123</v>
      </c>
      <c r="V19" t="s">
        <v>123</v>
      </c>
      <c r="W19" t="s">
        <v>123</v>
      </c>
      <c r="X19" t="s">
        <v>123</v>
      </c>
      <c r="Y19" t="s">
        <v>123</v>
      </c>
    </row>
    <row r="20" spans="1:25">
      <c r="A20" t="s">
        <v>66</v>
      </c>
      <c r="B20" t="s">
        <v>123</v>
      </c>
      <c r="C20" t="s">
        <v>123</v>
      </c>
      <c r="D20" t="s">
        <v>123</v>
      </c>
      <c r="E20" t="s">
        <v>123</v>
      </c>
      <c r="F20" t="s">
        <v>123</v>
      </c>
      <c r="G20" t="s">
        <v>123</v>
      </c>
      <c r="H20" t="s">
        <v>123</v>
      </c>
      <c r="I20" t="s">
        <v>123</v>
      </c>
      <c r="J20" t="s">
        <v>123</v>
      </c>
      <c r="K20" t="s">
        <v>123</v>
      </c>
      <c r="L20" t="s">
        <v>123</v>
      </c>
      <c r="M20" t="s">
        <v>123</v>
      </c>
      <c r="N20" t="s">
        <v>123</v>
      </c>
      <c r="O20" t="s">
        <v>123</v>
      </c>
      <c r="P20" t="s">
        <v>123</v>
      </c>
      <c r="Q20" t="s">
        <v>123</v>
      </c>
      <c r="R20" t="s">
        <v>123</v>
      </c>
      <c r="S20" t="s">
        <v>123</v>
      </c>
      <c r="T20" t="s">
        <v>123</v>
      </c>
      <c r="U20" t="s">
        <v>123</v>
      </c>
      <c r="V20" t="s">
        <v>123</v>
      </c>
      <c r="W20" t="s">
        <v>123</v>
      </c>
      <c r="X20" t="s">
        <v>123</v>
      </c>
      <c r="Y20" t="s">
        <v>123</v>
      </c>
    </row>
    <row r="21" spans="1:25">
      <c r="A21" t="s">
        <v>74</v>
      </c>
      <c r="B21" t="s">
        <v>125</v>
      </c>
      <c r="C21" t="s">
        <v>125</v>
      </c>
      <c r="D21" t="s">
        <v>125</v>
      </c>
      <c r="E21" t="s">
        <v>125</v>
      </c>
      <c r="F21" t="s">
        <v>125</v>
      </c>
      <c r="G21" t="s">
        <v>125</v>
      </c>
      <c r="H21" t="s">
        <v>125</v>
      </c>
      <c r="I21" t="s">
        <v>125</v>
      </c>
      <c r="J21" t="s">
        <v>125</v>
      </c>
      <c r="K21" t="s">
        <v>125</v>
      </c>
      <c r="L21" t="s">
        <v>125</v>
      </c>
      <c r="M21" t="s">
        <v>125</v>
      </c>
      <c r="N21" t="s">
        <v>125</v>
      </c>
      <c r="O21" t="s">
        <v>125</v>
      </c>
      <c r="P21" t="s">
        <v>125</v>
      </c>
      <c r="Q21" t="s">
        <v>125</v>
      </c>
      <c r="R21" t="s">
        <v>125</v>
      </c>
      <c r="S21" t="s">
        <v>125</v>
      </c>
      <c r="T21" t="s">
        <v>125</v>
      </c>
      <c r="U21" t="s">
        <v>125</v>
      </c>
      <c r="V21" t="s">
        <v>125</v>
      </c>
      <c r="W21" t="s">
        <v>125</v>
      </c>
      <c r="X21" t="s">
        <v>125</v>
      </c>
      <c r="Y21" t="s">
        <v>125</v>
      </c>
    </row>
    <row r="22" spans="1:25">
      <c r="A22" t="s">
        <v>67</v>
      </c>
      <c r="B22" t="s">
        <v>125</v>
      </c>
      <c r="C22" t="s">
        <v>125</v>
      </c>
      <c r="D22" t="s">
        <v>125</v>
      </c>
      <c r="E22" t="s">
        <v>125</v>
      </c>
      <c r="F22" t="s">
        <v>125</v>
      </c>
      <c r="G22" t="s">
        <v>125</v>
      </c>
      <c r="H22" t="s">
        <v>125</v>
      </c>
      <c r="I22" t="s">
        <v>125</v>
      </c>
      <c r="J22" t="s">
        <v>125</v>
      </c>
      <c r="K22" t="s">
        <v>125</v>
      </c>
      <c r="L22" t="s">
        <v>125</v>
      </c>
      <c r="M22" t="s">
        <v>125</v>
      </c>
      <c r="N22" t="s">
        <v>125</v>
      </c>
      <c r="O22" t="s">
        <v>125</v>
      </c>
      <c r="P22" t="s">
        <v>125</v>
      </c>
      <c r="Q22" t="s">
        <v>125</v>
      </c>
      <c r="R22" t="s">
        <v>125</v>
      </c>
      <c r="S22" t="s">
        <v>125</v>
      </c>
      <c r="T22" t="s">
        <v>125</v>
      </c>
      <c r="U22" t="s">
        <v>125</v>
      </c>
      <c r="V22" t="s">
        <v>125</v>
      </c>
      <c r="W22" t="s">
        <v>125</v>
      </c>
      <c r="X22" t="s">
        <v>125</v>
      </c>
      <c r="Y22" t="s">
        <v>125</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7"/>
  </sheetPr>
  <dimension ref="A1:Z75"/>
  <sheetViews>
    <sheetView topLeftCell="A25" workbookViewId="0">
      <selection activeCell="N48" sqref="N48"/>
    </sheetView>
  </sheetViews>
  <sheetFormatPr baseColWidth="10" defaultRowHeight="16"/>
  <sheetData>
    <row r="1" spans="1:1">
      <c r="A1" s="2" t="s">
        <v>2</v>
      </c>
    </row>
    <row r="2" spans="1:1">
      <c r="A2" s="2" t="s">
        <v>3</v>
      </c>
    </row>
    <row r="3" spans="1:1">
      <c r="A3" s="2" t="s">
        <v>4</v>
      </c>
    </row>
    <row r="4" spans="1:1">
      <c r="A4" s="2" t="s">
        <v>5</v>
      </c>
    </row>
    <row r="5" spans="1:1">
      <c r="A5" s="2" t="s">
        <v>6</v>
      </c>
    </row>
    <row r="6" spans="1:1">
      <c r="A6" s="2" t="s">
        <v>7</v>
      </c>
    </row>
    <row r="7" spans="1:1">
      <c r="A7" s="2" t="s">
        <v>8</v>
      </c>
    </row>
    <row r="8" spans="1:1">
      <c r="A8" s="2" t="s">
        <v>9</v>
      </c>
    </row>
    <row r="9" spans="1:1">
      <c r="A9" s="2" t="s">
        <v>10</v>
      </c>
    </row>
    <row r="10" spans="1:1" ht="18">
      <c r="A10" s="107" t="s">
        <v>11</v>
      </c>
    </row>
    <row r="11" spans="1:1" ht="18">
      <c r="A11" s="108" t="s">
        <v>12</v>
      </c>
    </row>
    <row r="12" spans="1:1">
      <c r="A12" s="2" t="s">
        <v>13</v>
      </c>
    </row>
    <row r="13" spans="1:1">
      <c r="A13" s="2" t="s">
        <v>14</v>
      </c>
    </row>
    <row r="14" spans="1:1">
      <c r="A14" s="2" t="s">
        <v>16</v>
      </c>
    </row>
    <row r="15" spans="1:1" ht="18">
      <c r="A15" s="108" t="s">
        <v>18</v>
      </c>
    </row>
    <row r="17" spans="1:26" ht="23">
      <c r="A17" s="109" t="s">
        <v>7</v>
      </c>
    </row>
    <row r="19" spans="1:26" ht="18">
      <c r="A19" s="107" t="s">
        <v>20</v>
      </c>
    </row>
    <row r="20" spans="1:26" ht="18">
      <c r="A20" s="107" t="s">
        <v>21</v>
      </c>
    </row>
    <row r="22" spans="1:26" ht="18">
      <c r="A22" s="108" t="s">
        <v>119</v>
      </c>
    </row>
    <row r="23" spans="1:26" ht="18">
      <c r="A23" s="108" t="s">
        <v>23</v>
      </c>
    </row>
    <row r="24" spans="1:26" ht="18">
      <c r="A24" s="108" t="s">
        <v>24</v>
      </c>
    </row>
    <row r="25" spans="1:26" ht="18">
      <c r="A25" s="108" t="s">
        <v>25</v>
      </c>
    </row>
    <row r="26" spans="1:26" ht="18">
      <c r="A26" s="107" t="s">
        <v>101</v>
      </c>
    </row>
    <row r="27" spans="1:26" ht="18">
      <c r="A27" s="108" t="s">
        <v>29</v>
      </c>
    </row>
    <row r="28" spans="1:26">
      <c r="A28" s="110"/>
      <c r="B28" s="110"/>
      <c r="C28" s="110"/>
      <c r="D28" s="110"/>
      <c r="E28" s="110"/>
      <c r="F28" s="110"/>
      <c r="G28" s="110"/>
      <c r="H28" s="110"/>
      <c r="I28" s="110"/>
      <c r="J28" s="110"/>
      <c r="K28" s="110"/>
      <c r="L28" s="110"/>
      <c r="M28" s="110"/>
      <c r="N28" s="110"/>
      <c r="O28" s="110"/>
      <c r="P28" s="110"/>
      <c r="Q28" s="110"/>
      <c r="R28" s="110"/>
      <c r="S28" s="110"/>
      <c r="T28" s="110"/>
      <c r="U28" s="110"/>
      <c r="V28" s="110"/>
      <c r="W28" s="110"/>
      <c r="X28" s="110"/>
    </row>
    <row r="29" spans="1:26">
      <c r="A29" s="111" t="s">
        <v>57</v>
      </c>
      <c r="B29" s="111">
        <v>29</v>
      </c>
      <c r="C29" s="111">
        <v>29.3</v>
      </c>
      <c r="D29" s="111">
        <v>29.6</v>
      </c>
      <c r="E29" s="111">
        <v>29.9</v>
      </c>
      <c r="F29" s="111">
        <v>30</v>
      </c>
      <c r="G29" s="111">
        <v>30.1</v>
      </c>
      <c r="H29" s="111">
        <v>30.4</v>
      </c>
      <c r="I29" s="111">
        <v>30.7</v>
      </c>
      <c r="J29" s="111">
        <v>31</v>
      </c>
      <c r="K29" s="111">
        <v>31.1</v>
      </c>
      <c r="L29" s="111">
        <v>31</v>
      </c>
      <c r="M29" s="111">
        <v>30.9</v>
      </c>
      <c r="N29" s="111">
        <v>30.8</v>
      </c>
      <c r="O29" s="111">
        <v>31.1</v>
      </c>
      <c r="P29" s="111">
        <v>31.4</v>
      </c>
      <c r="Q29" s="111">
        <v>31.3</v>
      </c>
      <c r="R29" s="111">
        <v>31.2</v>
      </c>
      <c r="S29" s="111">
        <v>30.9</v>
      </c>
      <c r="T29" s="111">
        <v>30.8</v>
      </c>
      <c r="U29" s="111">
        <v>30.5</v>
      </c>
      <c r="V29" s="111">
        <v>30.4</v>
      </c>
      <c r="W29" s="111">
        <v>30.5</v>
      </c>
      <c r="X29" s="111">
        <v>30.4</v>
      </c>
      <c r="Y29" s="111">
        <v>30.3</v>
      </c>
      <c r="Z29" s="111">
        <v>30.5</v>
      </c>
    </row>
    <row r="30" spans="1:26">
      <c r="A30" s="111" t="s">
        <v>56</v>
      </c>
      <c r="B30" s="111">
        <v>28.4</v>
      </c>
      <c r="C30" s="111">
        <v>28.5</v>
      </c>
      <c r="D30" s="111">
        <v>28.6</v>
      </c>
      <c r="E30" s="111">
        <v>28.7</v>
      </c>
      <c r="F30" s="111">
        <v>28.8</v>
      </c>
      <c r="G30" s="111">
        <v>28.9</v>
      </c>
      <c r="H30" s="111">
        <v>28.8</v>
      </c>
      <c r="I30" s="111">
        <v>29.1</v>
      </c>
      <c r="J30" s="111">
        <v>29.2</v>
      </c>
      <c r="K30" s="111">
        <v>29.3</v>
      </c>
      <c r="L30" s="111">
        <v>29.2</v>
      </c>
      <c r="M30" s="111">
        <v>28.9</v>
      </c>
      <c r="N30" s="111">
        <v>28.6</v>
      </c>
      <c r="O30" s="111">
        <v>28.3</v>
      </c>
      <c r="P30" s="111">
        <v>28.2</v>
      </c>
      <c r="Q30" s="111">
        <v>28.1</v>
      </c>
      <c r="R30" s="111">
        <v>28.2</v>
      </c>
      <c r="S30" s="111">
        <v>28.5</v>
      </c>
      <c r="T30" s="111">
        <v>28.8</v>
      </c>
      <c r="U30" s="111">
        <v>29.1</v>
      </c>
      <c r="V30" s="111">
        <v>29.2</v>
      </c>
      <c r="W30" s="111">
        <v>29.5</v>
      </c>
      <c r="X30" s="111">
        <v>29.8</v>
      </c>
      <c r="Y30" s="111">
        <v>30.1</v>
      </c>
      <c r="Z30" s="111">
        <v>28.9</v>
      </c>
    </row>
    <row r="31" spans="1:26">
      <c r="A31" s="111" t="s">
        <v>58</v>
      </c>
      <c r="B31" s="111">
        <v>23</v>
      </c>
      <c r="C31" s="111">
        <v>22.7</v>
      </c>
      <c r="D31" s="111">
        <v>23</v>
      </c>
      <c r="E31" s="111">
        <v>23.1</v>
      </c>
      <c r="F31" s="111">
        <v>23.4</v>
      </c>
      <c r="G31" s="111">
        <v>23.7</v>
      </c>
      <c r="H31" s="111">
        <v>24</v>
      </c>
      <c r="I31" s="111">
        <v>24.3</v>
      </c>
      <c r="J31" s="111">
        <v>24.6</v>
      </c>
      <c r="K31" s="111">
        <v>24.9</v>
      </c>
      <c r="L31" s="111">
        <v>25.2</v>
      </c>
      <c r="M31" s="111">
        <v>25.5</v>
      </c>
      <c r="N31" s="111">
        <v>25.8</v>
      </c>
      <c r="O31" s="111">
        <v>26.1</v>
      </c>
      <c r="P31" s="111">
        <v>26.4</v>
      </c>
      <c r="Q31" s="111">
        <v>26.7</v>
      </c>
      <c r="R31" s="111">
        <v>27</v>
      </c>
      <c r="S31" s="111">
        <v>26.9</v>
      </c>
      <c r="T31" s="111">
        <v>26.6</v>
      </c>
      <c r="U31" s="111">
        <v>26.3</v>
      </c>
      <c r="V31" s="111">
        <v>26</v>
      </c>
      <c r="W31" s="111">
        <v>25.7</v>
      </c>
      <c r="X31" s="111">
        <v>25.4</v>
      </c>
      <c r="Y31" s="111">
        <v>25.1</v>
      </c>
      <c r="Z31" s="111">
        <v>25.1</v>
      </c>
    </row>
    <row r="32" spans="1:26">
      <c r="A32" s="111" t="s">
        <v>60</v>
      </c>
      <c r="B32" s="111">
        <v>25.9</v>
      </c>
      <c r="C32" s="111">
        <v>25.6</v>
      </c>
      <c r="D32" s="111">
        <v>25.3</v>
      </c>
      <c r="E32" s="111">
        <v>25</v>
      </c>
      <c r="F32" s="111">
        <v>24.7</v>
      </c>
      <c r="G32" s="111">
        <v>24.6</v>
      </c>
      <c r="H32" s="111">
        <v>24.3</v>
      </c>
      <c r="I32" s="111">
        <v>24</v>
      </c>
      <c r="J32" s="111">
        <v>23.9</v>
      </c>
      <c r="K32" s="111">
        <v>24.2</v>
      </c>
      <c r="L32" s="111">
        <v>24.3</v>
      </c>
      <c r="M32" s="111">
        <v>24.4</v>
      </c>
      <c r="N32" s="111">
        <v>24.1</v>
      </c>
      <c r="O32" s="111">
        <v>24</v>
      </c>
      <c r="P32" s="111">
        <v>23.9</v>
      </c>
      <c r="Q32" s="111">
        <v>23.6</v>
      </c>
      <c r="R32" s="111">
        <v>23.3</v>
      </c>
      <c r="S32" s="111">
        <v>23</v>
      </c>
      <c r="T32" s="111">
        <v>22.9</v>
      </c>
      <c r="U32" s="111">
        <v>23</v>
      </c>
      <c r="V32" s="111">
        <v>23.3</v>
      </c>
      <c r="W32" s="111">
        <v>23.4</v>
      </c>
      <c r="X32" s="111">
        <v>23.3</v>
      </c>
      <c r="Y32" s="111">
        <v>23</v>
      </c>
      <c r="Z32" s="111">
        <v>24</v>
      </c>
    </row>
    <row r="33" spans="1:26">
      <c r="A33" s="111" t="s">
        <v>61</v>
      </c>
      <c r="B33" s="111">
        <v>24.2</v>
      </c>
      <c r="C33" s="111">
        <v>23.9</v>
      </c>
      <c r="D33" s="111">
        <v>23.6</v>
      </c>
      <c r="E33" s="111">
        <v>23.3</v>
      </c>
      <c r="F33" s="111">
        <v>23.2</v>
      </c>
      <c r="G33" s="111">
        <v>23.3</v>
      </c>
      <c r="H33" s="111">
        <v>23.6</v>
      </c>
      <c r="I33" s="111">
        <v>23.7</v>
      </c>
      <c r="J33" s="111">
        <v>23.8</v>
      </c>
      <c r="K33" s="111">
        <v>23.7</v>
      </c>
      <c r="L33" s="111">
        <v>23.6</v>
      </c>
      <c r="M33" s="111">
        <v>23.5</v>
      </c>
      <c r="N33" s="111">
        <v>23.4</v>
      </c>
      <c r="O33" s="111">
        <v>23.7</v>
      </c>
      <c r="P33" s="111">
        <v>23.8</v>
      </c>
      <c r="Q33" s="111">
        <v>23.5</v>
      </c>
      <c r="R33" s="111">
        <v>23.2</v>
      </c>
      <c r="S33" s="111">
        <v>22.9</v>
      </c>
      <c r="T33" s="111">
        <v>22.8</v>
      </c>
      <c r="U33" s="111">
        <v>22.7</v>
      </c>
      <c r="V33" s="111">
        <v>22.8</v>
      </c>
      <c r="W33" s="111">
        <v>22.5</v>
      </c>
      <c r="X33" s="111">
        <v>22.2</v>
      </c>
      <c r="Y33" s="111">
        <v>21.9</v>
      </c>
      <c r="Z33" s="111">
        <v>23.3</v>
      </c>
    </row>
    <row r="34" spans="1:26">
      <c r="A34" s="111" t="s">
        <v>59</v>
      </c>
      <c r="B34" s="111">
        <v>21</v>
      </c>
      <c r="C34" s="111">
        <v>21.1</v>
      </c>
      <c r="D34" s="111">
        <v>21.4</v>
      </c>
      <c r="E34" s="111">
        <v>21.7</v>
      </c>
      <c r="F34" s="111">
        <v>22</v>
      </c>
      <c r="G34" s="111">
        <v>22.1</v>
      </c>
      <c r="H34" s="111">
        <v>22.2</v>
      </c>
      <c r="I34" s="111">
        <v>22.3</v>
      </c>
      <c r="J34" s="111">
        <v>22.2</v>
      </c>
      <c r="K34" s="111">
        <v>21.9</v>
      </c>
      <c r="L34" s="111">
        <v>22</v>
      </c>
      <c r="M34" s="111">
        <v>22.3</v>
      </c>
      <c r="N34" s="111">
        <v>22.4</v>
      </c>
      <c r="O34" s="111">
        <v>22.3</v>
      </c>
      <c r="P34" s="111">
        <v>22.4</v>
      </c>
      <c r="Q34" s="111">
        <v>22.5</v>
      </c>
      <c r="R34" s="111">
        <v>22.6</v>
      </c>
      <c r="S34" s="111">
        <v>22.7</v>
      </c>
      <c r="T34" s="111">
        <v>23</v>
      </c>
      <c r="U34" s="111">
        <v>23.3</v>
      </c>
      <c r="V34" s="111">
        <v>23.4</v>
      </c>
      <c r="W34" s="111">
        <v>23.5</v>
      </c>
      <c r="X34" s="111">
        <v>23.6</v>
      </c>
      <c r="Y34" s="111">
        <v>23.7</v>
      </c>
      <c r="Z34" s="111">
        <v>22.4</v>
      </c>
    </row>
    <row r="35" spans="1:26">
      <c r="A35" s="111" t="s">
        <v>71</v>
      </c>
      <c r="B35" s="111">
        <v>18</v>
      </c>
      <c r="C35" s="111">
        <v>17.399999999999999</v>
      </c>
      <c r="D35" s="111"/>
      <c r="E35" s="111"/>
      <c r="F35" s="111"/>
      <c r="G35" s="111"/>
      <c r="H35" s="111"/>
      <c r="I35" s="111"/>
      <c r="J35" s="111"/>
      <c r="K35" s="111"/>
      <c r="L35" s="111"/>
      <c r="M35" s="111"/>
      <c r="N35" s="111"/>
      <c r="O35" s="111"/>
      <c r="P35" s="111"/>
      <c r="Q35" s="111"/>
      <c r="R35" s="111"/>
      <c r="S35" s="111"/>
      <c r="T35" s="111"/>
      <c r="U35" s="111"/>
      <c r="V35" s="111"/>
      <c r="W35" s="111"/>
      <c r="X35" s="111"/>
      <c r="Y35" s="111"/>
      <c r="Z35" s="111">
        <v>17.7</v>
      </c>
    </row>
    <row r="36" spans="1:26">
      <c r="A36" s="111" t="s">
        <v>62</v>
      </c>
      <c r="B36" s="111">
        <v>18.399999999999999</v>
      </c>
      <c r="C36" s="111">
        <v>19</v>
      </c>
      <c r="D36" s="111">
        <v>19.3</v>
      </c>
      <c r="E36" s="111">
        <v>19.600000000000001</v>
      </c>
      <c r="F36" s="111">
        <v>19.7</v>
      </c>
      <c r="G36" s="111">
        <v>19.600000000000001</v>
      </c>
      <c r="H36" s="111">
        <v>19.5</v>
      </c>
      <c r="I36" s="111">
        <v>19.2</v>
      </c>
      <c r="J36" s="111">
        <v>18.899999999999999</v>
      </c>
      <c r="K36" s="111">
        <v>18.600000000000001</v>
      </c>
      <c r="L36" s="111">
        <v>18.3</v>
      </c>
      <c r="M36" s="111">
        <v>17.7</v>
      </c>
      <c r="N36" s="111">
        <v>17.100000000000001</v>
      </c>
      <c r="O36" s="111">
        <v>16.5</v>
      </c>
      <c r="P36" s="111">
        <v>15.9</v>
      </c>
      <c r="Q36" s="111">
        <v>15.7</v>
      </c>
      <c r="R36" s="111">
        <v>15.1</v>
      </c>
      <c r="S36" s="111">
        <v>14.9</v>
      </c>
      <c r="T36" s="111">
        <v>15.1</v>
      </c>
      <c r="U36" s="111">
        <v>15.7</v>
      </c>
      <c r="V36" s="111">
        <v>16.3</v>
      </c>
      <c r="W36" s="111">
        <v>16.899999999999999</v>
      </c>
      <c r="X36" s="111">
        <v>17.5</v>
      </c>
      <c r="Y36" s="111">
        <v>18.100000000000001</v>
      </c>
      <c r="Z36" s="111">
        <v>17.600000000000001</v>
      </c>
    </row>
    <row r="37" spans="1:26">
      <c r="A37" s="111" t="s">
        <v>65</v>
      </c>
      <c r="B37" s="111"/>
      <c r="C37" s="111"/>
      <c r="D37" s="111">
        <v>16.8</v>
      </c>
      <c r="E37" s="111">
        <v>16.600000000000001</v>
      </c>
      <c r="F37" s="111">
        <v>16.399999999999999</v>
      </c>
      <c r="G37" s="111">
        <v>15.8</v>
      </c>
      <c r="H37" s="111">
        <v>15.2</v>
      </c>
      <c r="I37" s="111">
        <v>14.6</v>
      </c>
      <c r="J37" s="111">
        <v>14.4</v>
      </c>
      <c r="K37" s="111">
        <v>13.8</v>
      </c>
      <c r="L37" s="111">
        <v>13.2</v>
      </c>
      <c r="M37" s="111">
        <v>13</v>
      </c>
      <c r="N37" s="111">
        <v>12.4</v>
      </c>
      <c r="O37" s="111">
        <v>11.8</v>
      </c>
      <c r="P37" s="111">
        <v>11.2</v>
      </c>
      <c r="Q37" s="111">
        <v>10.6</v>
      </c>
      <c r="R37" s="111">
        <v>10</v>
      </c>
      <c r="S37" s="111">
        <v>9.8000000000000007</v>
      </c>
      <c r="T37" s="111">
        <v>9.6</v>
      </c>
      <c r="U37" s="111">
        <v>10.199999999999999</v>
      </c>
      <c r="V37" s="111">
        <v>10.8</v>
      </c>
      <c r="W37" s="111">
        <v>11.4</v>
      </c>
      <c r="X37" s="111">
        <v>11.2</v>
      </c>
      <c r="Y37" s="111">
        <v>11.4</v>
      </c>
      <c r="Z37" s="111">
        <v>12.7</v>
      </c>
    </row>
    <row r="38" spans="1:26">
      <c r="A38" s="111" t="s">
        <v>64</v>
      </c>
      <c r="B38" s="111">
        <v>12</v>
      </c>
      <c r="C38" s="111">
        <v>12.6</v>
      </c>
      <c r="D38" s="111">
        <v>12.8</v>
      </c>
      <c r="E38" s="111">
        <v>13</v>
      </c>
      <c r="F38" s="111">
        <v>12.8</v>
      </c>
      <c r="G38" s="111">
        <v>12.6</v>
      </c>
      <c r="H38" s="111">
        <v>12.8</v>
      </c>
      <c r="I38" s="111">
        <v>13.4</v>
      </c>
      <c r="J38" s="111">
        <v>13.6</v>
      </c>
      <c r="K38" s="111">
        <v>13</v>
      </c>
      <c r="L38" s="111">
        <v>12.4</v>
      </c>
      <c r="M38" s="111">
        <v>11.8</v>
      </c>
      <c r="N38" s="111">
        <v>11.2</v>
      </c>
      <c r="O38" s="111">
        <v>10.6</v>
      </c>
      <c r="P38" s="111">
        <v>11.2</v>
      </c>
      <c r="Q38" s="111">
        <v>11.8</v>
      </c>
      <c r="R38" s="111">
        <v>12.4</v>
      </c>
      <c r="S38" s="111">
        <v>13</v>
      </c>
      <c r="T38" s="111">
        <v>12.8</v>
      </c>
      <c r="U38" s="111">
        <v>13</v>
      </c>
      <c r="V38" s="111">
        <v>13.2</v>
      </c>
      <c r="W38" s="111">
        <v>13.8</v>
      </c>
      <c r="X38" s="111">
        <v>13.2</v>
      </c>
      <c r="Y38" s="111">
        <v>12.6</v>
      </c>
      <c r="Z38" s="111">
        <v>12.6</v>
      </c>
    </row>
    <row r="39" spans="1:26">
      <c r="A39" s="111" t="s">
        <v>65</v>
      </c>
      <c r="B39" s="111">
        <v>9.6</v>
      </c>
      <c r="C39" s="111">
        <v>9</v>
      </c>
      <c r="D39" s="111"/>
      <c r="E39" s="111"/>
      <c r="F39" s="111"/>
      <c r="G39" s="111"/>
      <c r="H39" s="111"/>
      <c r="I39" s="111"/>
      <c r="J39" s="111"/>
      <c r="K39" s="111"/>
      <c r="L39" s="111"/>
      <c r="M39" s="111"/>
      <c r="N39" s="111"/>
      <c r="O39" s="111"/>
      <c r="P39" s="111"/>
      <c r="Q39" s="111"/>
      <c r="R39" s="111"/>
      <c r="S39" s="111"/>
      <c r="T39" s="111"/>
      <c r="U39" s="111"/>
      <c r="V39" s="111"/>
      <c r="W39" s="111"/>
      <c r="X39" s="111"/>
      <c r="Y39" s="111"/>
      <c r="Z39" s="111">
        <v>9.3000000000000007</v>
      </c>
    </row>
    <row r="40" spans="1:26">
      <c r="A40" s="111" t="s">
        <v>68</v>
      </c>
      <c r="B40" s="111">
        <v>8.1</v>
      </c>
      <c r="C40" s="111">
        <v>8.6999999999999993</v>
      </c>
      <c r="D40" s="111">
        <v>9.3000000000000007</v>
      </c>
      <c r="E40" s="111">
        <v>9.9</v>
      </c>
      <c r="F40" s="111">
        <v>9.6999999999999993</v>
      </c>
      <c r="G40" s="111">
        <v>9.1</v>
      </c>
      <c r="H40" s="111">
        <v>9.6999999999999993</v>
      </c>
      <c r="I40" s="111">
        <v>9.5</v>
      </c>
      <c r="J40" s="111">
        <v>9.6999999999999993</v>
      </c>
      <c r="K40" s="111">
        <v>9.1</v>
      </c>
      <c r="L40" s="111">
        <v>8.5</v>
      </c>
      <c r="M40" s="111">
        <v>7.9</v>
      </c>
      <c r="N40" s="111">
        <v>8.5</v>
      </c>
      <c r="O40" s="111">
        <v>9.1</v>
      </c>
      <c r="P40" s="111">
        <v>9.6999999999999993</v>
      </c>
      <c r="Q40" s="111">
        <v>10.3</v>
      </c>
      <c r="R40" s="111">
        <v>10.5</v>
      </c>
      <c r="S40" s="111">
        <v>9.9</v>
      </c>
      <c r="T40" s="111">
        <v>9.3000000000000007</v>
      </c>
      <c r="U40" s="111">
        <v>8.6999999999999993</v>
      </c>
      <c r="V40" s="111">
        <v>8.5</v>
      </c>
      <c r="W40" s="111">
        <v>7.9</v>
      </c>
      <c r="X40" s="111">
        <v>7.3</v>
      </c>
      <c r="Y40" s="111">
        <v>6.7</v>
      </c>
      <c r="Z40" s="111">
        <v>9</v>
      </c>
    </row>
    <row r="41" spans="1:26">
      <c r="A41" s="111" t="s">
        <v>69</v>
      </c>
      <c r="B41" s="111">
        <v>13.1</v>
      </c>
      <c r="C41" s="111">
        <v>12.5</v>
      </c>
      <c r="D41" s="111">
        <v>11.9</v>
      </c>
      <c r="E41" s="111">
        <v>11.3</v>
      </c>
      <c r="F41" s="111">
        <v>10.7</v>
      </c>
      <c r="G41" s="111">
        <v>10.1</v>
      </c>
      <c r="H41" s="111">
        <v>9.5</v>
      </c>
      <c r="I41" s="111">
        <v>9.3000000000000007</v>
      </c>
      <c r="J41" s="111">
        <v>8.6999999999999993</v>
      </c>
      <c r="K41" s="111">
        <v>8.5</v>
      </c>
      <c r="L41" s="111">
        <v>8.3000000000000007</v>
      </c>
      <c r="M41" s="111">
        <v>7.7</v>
      </c>
      <c r="N41" s="111">
        <v>7.1</v>
      </c>
      <c r="O41" s="111">
        <v>6.5</v>
      </c>
      <c r="P41" s="111">
        <v>5.9</v>
      </c>
      <c r="Q41" s="111">
        <v>5.7</v>
      </c>
      <c r="R41" s="111">
        <v>5.0999999999999996</v>
      </c>
      <c r="S41" s="111">
        <v>5.7</v>
      </c>
      <c r="T41" s="111">
        <v>6.3</v>
      </c>
      <c r="U41" s="111">
        <v>6.9</v>
      </c>
      <c r="V41" s="111">
        <v>6.3</v>
      </c>
      <c r="W41" s="111">
        <v>6.5</v>
      </c>
      <c r="X41" s="111">
        <v>7.1</v>
      </c>
      <c r="Y41" s="111">
        <v>7.7</v>
      </c>
      <c r="Z41" s="111">
        <v>8.3000000000000007</v>
      </c>
    </row>
    <row r="42" spans="1:26">
      <c r="A42" s="111" t="s">
        <v>66</v>
      </c>
      <c r="B42" s="111">
        <v>7.3</v>
      </c>
      <c r="C42" s="111">
        <v>7.5</v>
      </c>
      <c r="D42" s="111">
        <v>8.1</v>
      </c>
      <c r="E42" s="111">
        <v>8.6999999999999993</v>
      </c>
      <c r="F42" s="111">
        <v>9.3000000000000007</v>
      </c>
      <c r="G42" s="111">
        <v>9.1</v>
      </c>
      <c r="H42" s="111">
        <v>9.3000000000000007</v>
      </c>
      <c r="I42" s="111">
        <v>8.6999999999999993</v>
      </c>
      <c r="J42" s="111">
        <v>8.1</v>
      </c>
      <c r="K42" s="111">
        <v>7.5</v>
      </c>
      <c r="L42" s="111">
        <v>7.7</v>
      </c>
      <c r="M42" s="111">
        <v>8.3000000000000007</v>
      </c>
      <c r="N42" s="111">
        <v>8.9</v>
      </c>
      <c r="O42" s="111">
        <v>9.1</v>
      </c>
      <c r="P42" s="111">
        <v>8.5</v>
      </c>
      <c r="Q42" s="111">
        <v>8.6999999999999993</v>
      </c>
      <c r="R42" s="111">
        <v>8.5</v>
      </c>
      <c r="S42" s="111">
        <v>8.3000000000000007</v>
      </c>
      <c r="T42" s="111">
        <v>7.7</v>
      </c>
      <c r="U42" s="111">
        <v>7.1</v>
      </c>
      <c r="V42" s="111">
        <v>6.5</v>
      </c>
      <c r="W42" s="111">
        <v>6.7</v>
      </c>
      <c r="X42" s="111">
        <v>7.3</v>
      </c>
      <c r="Y42" s="111">
        <v>7.9</v>
      </c>
      <c r="Z42" s="111">
        <v>8.1</v>
      </c>
    </row>
    <row r="43" spans="1:26">
      <c r="A43" s="111" t="s">
        <v>63</v>
      </c>
      <c r="B43" s="111">
        <v>6.7</v>
      </c>
      <c r="C43" s="111">
        <v>6.1</v>
      </c>
      <c r="D43" s="111">
        <v>6.7</v>
      </c>
      <c r="E43" s="111">
        <v>7.3</v>
      </c>
      <c r="F43" s="111">
        <v>7.9</v>
      </c>
      <c r="G43" s="111">
        <v>8.5</v>
      </c>
      <c r="H43" s="111">
        <v>8.6999999999999993</v>
      </c>
      <c r="I43" s="111">
        <v>8.1</v>
      </c>
      <c r="J43" s="111">
        <v>7.5</v>
      </c>
      <c r="K43" s="111">
        <v>6.9</v>
      </c>
      <c r="L43" s="111">
        <v>6.7</v>
      </c>
      <c r="M43" s="111">
        <v>6.9</v>
      </c>
      <c r="N43" s="111">
        <v>7.5</v>
      </c>
      <c r="O43" s="111">
        <v>8.1</v>
      </c>
      <c r="P43" s="111">
        <v>7.5</v>
      </c>
      <c r="Q43" s="111">
        <v>7.3</v>
      </c>
      <c r="R43" s="111">
        <v>6.7</v>
      </c>
      <c r="S43" s="111">
        <v>7.3</v>
      </c>
      <c r="T43" s="111">
        <v>7.1</v>
      </c>
      <c r="U43" s="111">
        <v>7.7</v>
      </c>
      <c r="V43" s="111">
        <v>8.3000000000000007</v>
      </c>
      <c r="W43" s="111">
        <v>8.9</v>
      </c>
      <c r="X43" s="111">
        <v>9.5</v>
      </c>
      <c r="Y43" s="111">
        <v>9.3000000000000007</v>
      </c>
      <c r="Z43" s="111">
        <v>7.6</v>
      </c>
    </row>
    <row r="44" spans="1:26">
      <c r="A44" s="111" t="s">
        <v>67</v>
      </c>
      <c r="B44" s="111">
        <v>6.4</v>
      </c>
      <c r="C44" s="111">
        <v>7</v>
      </c>
      <c r="D44" s="111">
        <v>7.6</v>
      </c>
      <c r="E44" s="111">
        <v>7.8</v>
      </c>
      <c r="F44" s="111">
        <v>7.2</v>
      </c>
      <c r="G44" s="111">
        <v>6.6</v>
      </c>
      <c r="H44" s="111">
        <v>6</v>
      </c>
      <c r="I44" s="111">
        <v>6.2</v>
      </c>
      <c r="J44" s="111">
        <v>6</v>
      </c>
      <c r="K44" s="111">
        <v>6.6</v>
      </c>
      <c r="L44" s="111">
        <v>7.2</v>
      </c>
      <c r="M44" s="111">
        <v>7.8</v>
      </c>
      <c r="N44" s="111">
        <v>8.4</v>
      </c>
      <c r="O44" s="111">
        <v>9</v>
      </c>
      <c r="P44" s="111">
        <v>9.6</v>
      </c>
      <c r="Q44" s="111">
        <v>9.8000000000000007</v>
      </c>
      <c r="R44" s="111">
        <v>9.1999999999999993</v>
      </c>
      <c r="S44" s="111">
        <v>8.6</v>
      </c>
      <c r="T44" s="111">
        <v>8</v>
      </c>
      <c r="U44" s="111">
        <v>7.4</v>
      </c>
      <c r="V44" s="111">
        <v>6.8</v>
      </c>
      <c r="W44" s="111">
        <v>6.2</v>
      </c>
      <c r="X44" s="111">
        <v>5.6</v>
      </c>
      <c r="Y44" s="111">
        <v>5</v>
      </c>
      <c r="Z44" s="111">
        <v>7.3</v>
      </c>
    </row>
    <row r="45" spans="1:26">
      <c r="A45" s="111" t="s">
        <v>72</v>
      </c>
      <c r="B45" s="111">
        <v>11.8</v>
      </c>
      <c r="C45" s="111">
        <v>11.2</v>
      </c>
      <c r="D45" s="111">
        <v>10.6</v>
      </c>
      <c r="E45" s="111">
        <v>10</v>
      </c>
      <c r="F45" s="111">
        <v>9.4</v>
      </c>
      <c r="G45" s="111">
        <v>8.8000000000000007</v>
      </c>
      <c r="H45" s="111">
        <v>8.1999999999999993</v>
      </c>
      <c r="I45" s="111">
        <v>7.6</v>
      </c>
      <c r="J45" s="111">
        <v>7</v>
      </c>
      <c r="K45" s="111">
        <v>6.4</v>
      </c>
      <c r="L45" s="111">
        <v>5.8</v>
      </c>
      <c r="M45" s="111">
        <v>6</v>
      </c>
      <c r="N45" s="111">
        <v>6.6</v>
      </c>
      <c r="O45" s="111">
        <v>6</v>
      </c>
      <c r="P45" s="111">
        <v>5.4</v>
      </c>
      <c r="Q45" s="111">
        <v>4.8</v>
      </c>
      <c r="R45" s="111">
        <v>4.5</v>
      </c>
      <c r="S45" s="111">
        <v>4.5</v>
      </c>
      <c r="T45" s="111">
        <v>4.5</v>
      </c>
      <c r="U45" s="111">
        <v>4.5</v>
      </c>
      <c r="V45" s="111">
        <v>4.7</v>
      </c>
      <c r="W45" s="111">
        <v>5.3</v>
      </c>
      <c r="X45" s="111">
        <v>5.9</v>
      </c>
      <c r="Y45" s="111">
        <v>6.5</v>
      </c>
      <c r="Z45" s="111">
        <v>6.9</v>
      </c>
    </row>
    <row r="46" spans="1:26">
      <c r="A46" s="111" t="s">
        <v>73</v>
      </c>
      <c r="B46" s="111">
        <v>8.8000000000000007</v>
      </c>
      <c r="C46" s="111">
        <v>8.1999999999999993</v>
      </c>
      <c r="D46" s="111">
        <v>7.6</v>
      </c>
      <c r="E46" s="111">
        <v>7</v>
      </c>
      <c r="F46" s="111">
        <v>6.4</v>
      </c>
      <c r="G46" s="111">
        <v>6.2</v>
      </c>
      <c r="H46" s="111">
        <v>5.6</v>
      </c>
      <c r="I46" s="111">
        <v>5</v>
      </c>
      <c r="J46" s="111">
        <v>4.5</v>
      </c>
      <c r="K46" s="111">
        <v>4.5</v>
      </c>
      <c r="L46" s="111">
        <v>5.0999999999999996</v>
      </c>
      <c r="M46" s="111">
        <v>5.7</v>
      </c>
      <c r="N46" s="111">
        <v>6.3</v>
      </c>
      <c r="O46" s="111">
        <v>6.9</v>
      </c>
      <c r="P46" s="111">
        <v>7.5</v>
      </c>
      <c r="Q46" s="111">
        <v>8.1</v>
      </c>
      <c r="R46" s="111">
        <v>7.9</v>
      </c>
      <c r="S46" s="111">
        <v>7.3</v>
      </c>
      <c r="T46" s="111">
        <v>6.7</v>
      </c>
      <c r="U46" s="111">
        <v>6.1</v>
      </c>
      <c r="V46" s="111">
        <v>5.5</v>
      </c>
      <c r="W46" s="111">
        <v>4.9000000000000004</v>
      </c>
      <c r="X46" s="111">
        <v>4.5</v>
      </c>
      <c r="Y46" s="111">
        <v>4.7</v>
      </c>
      <c r="Z46" s="111">
        <v>6.3</v>
      </c>
    </row>
    <row r="47" spans="1:26">
      <c r="A47" s="111" t="s">
        <v>76</v>
      </c>
      <c r="B47" s="111">
        <v>7.2</v>
      </c>
      <c r="C47" s="111">
        <v>6.6</v>
      </c>
      <c r="D47" s="111">
        <v>6</v>
      </c>
      <c r="E47" s="111">
        <v>5.4</v>
      </c>
      <c r="F47" s="111">
        <v>5.6</v>
      </c>
      <c r="G47" s="111">
        <v>5</v>
      </c>
      <c r="H47" s="111"/>
      <c r="I47" s="111"/>
      <c r="J47" s="111"/>
      <c r="K47" s="111"/>
      <c r="L47" s="111"/>
      <c r="M47" s="111"/>
      <c r="N47" s="111"/>
      <c r="O47" s="111"/>
      <c r="P47" s="111"/>
      <c r="Q47" s="111"/>
      <c r="R47" s="111"/>
      <c r="S47" s="111"/>
      <c r="T47" s="111"/>
      <c r="U47" s="111"/>
      <c r="V47" s="111"/>
      <c r="W47" s="111"/>
      <c r="X47" s="111"/>
      <c r="Y47" s="111"/>
      <c r="Z47" s="111">
        <v>6</v>
      </c>
    </row>
    <row r="48" spans="1:26">
      <c r="A48" s="111" t="s">
        <v>70</v>
      </c>
      <c r="B48" s="111">
        <v>6.2</v>
      </c>
      <c r="C48" s="111">
        <v>5.6</v>
      </c>
      <c r="D48" s="111">
        <v>5</v>
      </c>
      <c r="E48" s="111">
        <v>4.5</v>
      </c>
      <c r="F48" s="111">
        <v>5.0999999999999996</v>
      </c>
      <c r="G48" s="111">
        <v>5.7</v>
      </c>
      <c r="H48" s="111">
        <v>5.5</v>
      </c>
      <c r="I48" s="111">
        <v>5.3</v>
      </c>
      <c r="J48" s="111">
        <v>5.5</v>
      </c>
      <c r="K48" s="111">
        <v>6.1</v>
      </c>
      <c r="L48" s="111">
        <v>6.7</v>
      </c>
      <c r="M48" s="111">
        <v>6.9</v>
      </c>
      <c r="N48" s="111">
        <v>6.3</v>
      </c>
      <c r="O48" s="111">
        <v>5.7</v>
      </c>
      <c r="P48" s="111">
        <v>5.0999999999999996</v>
      </c>
      <c r="Q48" s="111">
        <v>5.7</v>
      </c>
      <c r="R48" s="111">
        <v>6.3</v>
      </c>
      <c r="S48" s="111">
        <v>6.9</v>
      </c>
      <c r="T48" s="111">
        <v>7.1</v>
      </c>
      <c r="U48" s="111">
        <v>6.5</v>
      </c>
      <c r="V48" s="111">
        <v>5.9</v>
      </c>
      <c r="W48" s="111">
        <v>5.7</v>
      </c>
      <c r="X48" s="111">
        <v>6.3</v>
      </c>
      <c r="Y48" s="111">
        <v>6.9</v>
      </c>
      <c r="Z48" s="111">
        <v>5.9</v>
      </c>
    </row>
    <row r="49" spans="1:26">
      <c r="A49" s="111" t="s">
        <v>71</v>
      </c>
      <c r="B49" s="111"/>
      <c r="C49" s="111"/>
      <c r="D49" s="111">
        <v>8.4</v>
      </c>
      <c r="E49" s="111">
        <v>7.8</v>
      </c>
      <c r="F49" s="111">
        <v>7.2</v>
      </c>
      <c r="G49" s="111">
        <v>6.6</v>
      </c>
      <c r="H49" s="111">
        <v>6</v>
      </c>
      <c r="I49" s="111">
        <v>5.4</v>
      </c>
      <c r="J49" s="111">
        <v>4.8</v>
      </c>
      <c r="K49" s="111">
        <v>5.4</v>
      </c>
      <c r="L49" s="111">
        <v>4.8</v>
      </c>
      <c r="M49" s="111">
        <v>4.5</v>
      </c>
      <c r="N49" s="111">
        <v>4.5</v>
      </c>
      <c r="O49" s="111">
        <v>4.5</v>
      </c>
      <c r="P49" s="111">
        <v>4.5</v>
      </c>
      <c r="Q49" s="111">
        <v>5.0999999999999996</v>
      </c>
      <c r="R49" s="111">
        <v>5.3</v>
      </c>
      <c r="S49" s="111">
        <v>5.9</v>
      </c>
      <c r="T49" s="111">
        <v>6.5</v>
      </c>
      <c r="U49" s="111">
        <v>7.1</v>
      </c>
      <c r="V49" s="111">
        <v>6.5</v>
      </c>
      <c r="W49" s="111">
        <v>5.9</v>
      </c>
      <c r="X49" s="111">
        <v>5.3</v>
      </c>
      <c r="Y49" s="111">
        <v>5.9</v>
      </c>
      <c r="Z49" s="111">
        <v>5.8</v>
      </c>
    </row>
    <row r="50" spans="1:26">
      <c r="A50" s="111" t="s">
        <v>74</v>
      </c>
      <c r="B50" s="111">
        <v>6</v>
      </c>
      <c r="C50" s="111">
        <v>5.4</v>
      </c>
      <c r="D50" s="111">
        <v>4.8</v>
      </c>
      <c r="E50" s="111">
        <v>4.5</v>
      </c>
      <c r="F50" s="111">
        <v>4.5</v>
      </c>
      <c r="G50" s="111">
        <v>4.5</v>
      </c>
      <c r="H50" s="111">
        <v>4.5</v>
      </c>
      <c r="I50" s="111">
        <v>4.5</v>
      </c>
      <c r="J50" s="111">
        <v>4.5</v>
      </c>
      <c r="K50" s="111">
        <v>4.5</v>
      </c>
      <c r="L50" s="111">
        <v>4.5</v>
      </c>
      <c r="M50" s="111">
        <v>5.0999999999999996</v>
      </c>
      <c r="N50" s="111">
        <v>4.9000000000000004</v>
      </c>
      <c r="O50" s="111">
        <v>4.7</v>
      </c>
      <c r="P50" s="111">
        <v>4.5</v>
      </c>
      <c r="Q50" s="111">
        <v>5.0999999999999996</v>
      </c>
      <c r="R50" s="111">
        <v>5.7</v>
      </c>
      <c r="S50" s="111">
        <v>5.9</v>
      </c>
      <c r="T50" s="111">
        <v>6.1</v>
      </c>
      <c r="U50" s="111">
        <v>6.7</v>
      </c>
      <c r="V50" s="111">
        <v>7.3</v>
      </c>
      <c r="W50" s="111">
        <v>6.7</v>
      </c>
      <c r="X50" s="111">
        <v>6.1</v>
      </c>
      <c r="Y50" s="111">
        <v>5.5</v>
      </c>
      <c r="Z50" s="111">
        <v>5.3</v>
      </c>
    </row>
    <row r="51" spans="1:26">
      <c r="A51" s="111" t="s">
        <v>75</v>
      </c>
      <c r="B51" s="111"/>
      <c r="C51" s="111"/>
      <c r="D51" s="111"/>
      <c r="E51" s="111"/>
      <c r="F51" s="111"/>
      <c r="G51" s="111"/>
      <c r="H51" s="111">
        <v>4.5</v>
      </c>
      <c r="I51" s="111">
        <v>4.5</v>
      </c>
      <c r="J51" s="111">
        <v>4.5</v>
      </c>
      <c r="K51" s="111">
        <v>4.5</v>
      </c>
      <c r="L51" s="111">
        <v>4.7</v>
      </c>
      <c r="M51" s="111">
        <v>4.9000000000000004</v>
      </c>
      <c r="N51" s="111">
        <v>4.5</v>
      </c>
      <c r="O51" s="111">
        <v>4.5</v>
      </c>
      <c r="P51" s="111">
        <v>4.5</v>
      </c>
      <c r="Q51" s="111">
        <v>4.5</v>
      </c>
      <c r="R51" s="111">
        <v>4.5</v>
      </c>
      <c r="S51" s="111">
        <v>4.5</v>
      </c>
      <c r="T51" s="111">
        <v>4.5</v>
      </c>
      <c r="U51" s="111">
        <v>4.5</v>
      </c>
      <c r="V51" s="111">
        <v>4.7</v>
      </c>
      <c r="W51" s="111">
        <v>4.5</v>
      </c>
      <c r="X51" s="111">
        <v>4.5</v>
      </c>
      <c r="Y51" s="111">
        <v>4.5</v>
      </c>
      <c r="Z51" s="111">
        <v>4.5</v>
      </c>
    </row>
    <row r="52" spans="1:26">
      <c r="A52" s="112" t="s">
        <v>55</v>
      </c>
      <c r="B52" s="111">
        <v>14.6</v>
      </c>
      <c r="C52" s="111">
        <v>14.4</v>
      </c>
      <c r="D52" s="111">
        <v>14.3</v>
      </c>
      <c r="E52" s="111">
        <v>14.3</v>
      </c>
      <c r="F52" s="111">
        <v>14.2</v>
      </c>
      <c r="G52" s="111">
        <v>14</v>
      </c>
      <c r="H52" s="111">
        <v>13.9</v>
      </c>
      <c r="I52" s="111">
        <v>13.8</v>
      </c>
      <c r="J52" s="111">
        <v>13.6</v>
      </c>
      <c r="K52" s="111">
        <v>13.5</v>
      </c>
      <c r="L52" s="111">
        <v>13.5</v>
      </c>
      <c r="M52" s="111">
        <v>13.5</v>
      </c>
      <c r="N52" s="111">
        <v>13.5</v>
      </c>
      <c r="O52" s="111">
        <v>13.4</v>
      </c>
      <c r="P52" s="111">
        <v>13.4</v>
      </c>
      <c r="Q52" s="111">
        <v>13.4</v>
      </c>
      <c r="R52" s="111">
        <v>13.4</v>
      </c>
      <c r="S52" s="111">
        <v>13.4</v>
      </c>
      <c r="T52" s="111">
        <v>13.3</v>
      </c>
      <c r="U52" s="111">
        <v>13.3</v>
      </c>
      <c r="V52" s="111">
        <v>13.3</v>
      </c>
      <c r="W52" s="111">
        <v>13.3</v>
      </c>
      <c r="X52" s="111">
        <v>13.3</v>
      </c>
      <c r="Y52" s="111">
        <v>13.3</v>
      </c>
      <c r="Z52" s="111"/>
    </row>
    <row r="53" spans="1:26" ht="18">
      <c r="A53" s="107" t="s">
        <v>102</v>
      </c>
    </row>
    <row r="54" spans="1:26" ht="18">
      <c r="A54" s="108" t="s">
        <v>29</v>
      </c>
    </row>
    <row r="55" spans="1:26">
      <c r="A55" s="110"/>
      <c r="B55" s="110"/>
      <c r="C55" s="110"/>
      <c r="D55" s="110"/>
      <c r="E55" s="110"/>
      <c r="F55" s="110"/>
      <c r="G55" s="110"/>
      <c r="H55" s="110"/>
      <c r="I55" s="110"/>
      <c r="J55" s="110"/>
      <c r="K55" s="110"/>
      <c r="L55" s="110"/>
      <c r="M55" s="110"/>
      <c r="N55" s="110"/>
      <c r="O55" s="110"/>
      <c r="P55" s="110"/>
      <c r="Q55" s="110"/>
      <c r="R55" s="110"/>
      <c r="S55" s="110"/>
      <c r="T55" s="110"/>
      <c r="U55" s="110"/>
      <c r="V55" s="110"/>
      <c r="W55" s="110"/>
      <c r="X55" s="110"/>
    </row>
    <row r="56" spans="1:26">
      <c r="A56" s="111" t="s">
        <v>79</v>
      </c>
      <c r="B56" s="111">
        <v>30</v>
      </c>
      <c r="C56" s="111">
        <v>30.3</v>
      </c>
      <c r="D56" s="111">
        <v>30.6</v>
      </c>
      <c r="E56" s="111">
        <v>30.9</v>
      </c>
      <c r="F56" s="111">
        <v>31.2</v>
      </c>
      <c r="G56" s="111">
        <v>31.5</v>
      </c>
      <c r="H56" s="111">
        <v>31.8</v>
      </c>
      <c r="I56" s="111">
        <v>32.1</v>
      </c>
      <c r="J56" s="111">
        <v>32.4</v>
      </c>
      <c r="K56" s="111">
        <v>32.700000000000003</v>
      </c>
      <c r="L56" s="111">
        <v>33</v>
      </c>
      <c r="M56" s="111">
        <v>33.299999999999997</v>
      </c>
      <c r="N56" s="111">
        <v>33.6</v>
      </c>
      <c r="O56" s="111">
        <v>33.9</v>
      </c>
      <c r="P56" s="111">
        <v>34.200000000000003</v>
      </c>
      <c r="Q56" s="111">
        <v>34.5</v>
      </c>
      <c r="R56" s="111">
        <v>34.799999999999997</v>
      </c>
      <c r="S56" s="111">
        <v>35.1</v>
      </c>
      <c r="T56" s="111">
        <v>35.4</v>
      </c>
      <c r="U56" s="111">
        <v>35.299999999999997</v>
      </c>
      <c r="V56" s="111">
        <v>35.6</v>
      </c>
      <c r="W56" s="111">
        <v>35.9</v>
      </c>
      <c r="X56" s="111">
        <v>36</v>
      </c>
      <c r="Y56" s="111">
        <v>36.1</v>
      </c>
      <c r="Z56" s="111">
        <v>33.299999999999997</v>
      </c>
    </row>
    <row r="57" spans="1:26">
      <c r="A57" s="111" t="s">
        <v>82</v>
      </c>
      <c r="B57" s="111">
        <v>27.1</v>
      </c>
      <c r="C57" s="111">
        <v>27.4</v>
      </c>
      <c r="D57" s="111">
        <v>27.1</v>
      </c>
      <c r="E57" s="111">
        <v>27</v>
      </c>
      <c r="F57" s="111">
        <v>27.3</v>
      </c>
      <c r="G57" s="111">
        <v>27.6</v>
      </c>
      <c r="H57" s="111">
        <v>27.9</v>
      </c>
      <c r="I57" s="111">
        <v>28.2</v>
      </c>
      <c r="J57" s="111">
        <v>28.5</v>
      </c>
      <c r="K57" s="111">
        <v>28.8</v>
      </c>
      <c r="L57" s="111">
        <v>29.1</v>
      </c>
      <c r="M57" s="111">
        <v>29.4</v>
      </c>
      <c r="N57" s="111">
        <v>29.7</v>
      </c>
      <c r="O57" s="111">
        <v>30</v>
      </c>
      <c r="P57" s="111">
        <v>30.3</v>
      </c>
      <c r="Q57" s="111">
        <v>30.4</v>
      </c>
      <c r="R57" s="111">
        <v>30.5</v>
      </c>
      <c r="S57" s="111">
        <v>30.6</v>
      </c>
      <c r="T57" s="111">
        <v>30.9</v>
      </c>
      <c r="U57" s="111">
        <v>31.2</v>
      </c>
      <c r="V57" s="111">
        <v>31.5</v>
      </c>
      <c r="W57" s="111">
        <v>31.8</v>
      </c>
      <c r="X57" s="111">
        <v>31.9</v>
      </c>
      <c r="Y57" s="111">
        <v>31.8</v>
      </c>
      <c r="Z57" s="111">
        <v>29.4</v>
      </c>
    </row>
    <row r="58" spans="1:26">
      <c r="A58" s="111" t="s">
        <v>80</v>
      </c>
      <c r="B58" s="111">
        <v>25.2</v>
      </c>
      <c r="C58" s="111">
        <v>25.1</v>
      </c>
      <c r="D58" s="111">
        <v>25.4</v>
      </c>
      <c r="E58" s="111">
        <v>25.7</v>
      </c>
      <c r="F58" s="111">
        <v>26</v>
      </c>
      <c r="G58" s="111">
        <v>26.3</v>
      </c>
      <c r="H58" s="111">
        <v>26.6</v>
      </c>
      <c r="I58" s="111">
        <v>26.9</v>
      </c>
      <c r="J58" s="111">
        <v>27.2</v>
      </c>
      <c r="K58" s="111">
        <v>27.5</v>
      </c>
      <c r="L58" s="111">
        <v>27.8</v>
      </c>
      <c r="M58" s="111">
        <v>27.9</v>
      </c>
      <c r="N58" s="111">
        <v>28</v>
      </c>
      <c r="O58" s="111">
        <v>28.1</v>
      </c>
      <c r="P58" s="111">
        <v>28.4</v>
      </c>
      <c r="Q58" s="111">
        <v>28.7</v>
      </c>
      <c r="R58" s="111">
        <v>29</v>
      </c>
      <c r="S58" s="111">
        <v>29.3</v>
      </c>
      <c r="T58" s="111">
        <v>29.6</v>
      </c>
      <c r="U58" s="111">
        <v>29.9</v>
      </c>
      <c r="V58" s="111">
        <v>30.2</v>
      </c>
      <c r="W58" s="111">
        <v>30.5</v>
      </c>
      <c r="X58" s="111">
        <v>30.8</v>
      </c>
      <c r="Y58" s="111">
        <v>31.1</v>
      </c>
      <c r="Z58" s="111">
        <v>28</v>
      </c>
    </row>
    <row r="59" spans="1:26">
      <c r="A59" s="111" t="s">
        <v>81</v>
      </c>
      <c r="B59" s="111">
        <v>22.7</v>
      </c>
      <c r="C59" s="111">
        <v>23</v>
      </c>
      <c r="D59" s="111">
        <v>23.3</v>
      </c>
      <c r="E59" s="111">
        <v>23.6</v>
      </c>
      <c r="F59" s="111">
        <v>23.9</v>
      </c>
      <c r="G59" s="111">
        <v>24.2</v>
      </c>
      <c r="H59" s="111">
        <v>24.5</v>
      </c>
      <c r="I59" s="111">
        <v>24.8</v>
      </c>
      <c r="J59" s="111">
        <v>24.7</v>
      </c>
      <c r="K59" s="111">
        <v>24.4</v>
      </c>
      <c r="L59" s="111">
        <v>24.7</v>
      </c>
      <c r="M59" s="111">
        <v>25</v>
      </c>
      <c r="N59" s="111">
        <v>25.3</v>
      </c>
      <c r="O59" s="111">
        <v>25.4</v>
      </c>
      <c r="P59" s="111">
        <v>25.7</v>
      </c>
      <c r="Q59" s="111">
        <v>26</v>
      </c>
      <c r="R59" s="111">
        <v>26.3</v>
      </c>
      <c r="S59" s="111">
        <v>26.6</v>
      </c>
      <c r="T59" s="111">
        <v>26.9</v>
      </c>
      <c r="U59" s="111">
        <v>27.2</v>
      </c>
      <c r="V59" s="111">
        <v>27.5</v>
      </c>
      <c r="W59" s="111">
        <v>27.8</v>
      </c>
      <c r="X59" s="111">
        <v>28.1</v>
      </c>
      <c r="Y59" s="111">
        <v>28.4</v>
      </c>
      <c r="Z59" s="111">
        <v>25.4</v>
      </c>
    </row>
    <row r="60" spans="1:26">
      <c r="A60" s="111" t="s">
        <v>83</v>
      </c>
      <c r="B60" s="111">
        <v>13.1</v>
      </c>
      <c r="C60" s="111">
        <v>12.9</v>
      </c>
      <c r="D60" s="111">
        <v>13.5</v>
      </c>
      <c r="E60" s="111">
        <v>14.1</v>
      </c>
      <c r="F60" s="111">
        <v>14.7</v>
      </c>
      <c r="G60" s="111">
        <v>15.3</v>
      </c>
      <c r="H60" s="111">
        <v>15.9</v>
      </c>
      <c r="I60" s="111">
        <v>16.5</v>
      </c>
      <c r="J60" s="111">
        <v>17.100000000000001</v>
      </c>
      <c r="K60" s="111">
        <v>17.3</v>
      </c>
      <c r="L60" s="111">
        <v>16.7</v>
      </c>
      <c r="M60" s="111">
        <v>16.100000000000001</v>
      </c>
      <c r="N60" s="111">
        <v>15.5</v>
      </c>
      <c r="O60" s="111">
        <v>14.9</v>
      </c>
      <c r="P60" s="111">
        <v>15.5</v>
      </c>
      <c r="Q60" s="111">
        <v>16.100000000000001</v>
      </c>
      <c r="R60" s="111">
        <v>16.7</v>
      </c>
      <c r="S60" s="111">
        <v>17.3</v>
      </c>
      <c r="T60" s="111">
        <v>17.899999999999999</v>
      </c>
      <c r="U60" s="111">
        <v>18.5</v>
      </c>
      <c r="V60" s="111">
        <v>18.600000000000001</v>
      </c>
      <c r="W60" s="111">
        <v>18.899999999999999</v>
      </c>
      <c r="X60" s="111">
        <v>19.2</v>
      </c>
      <c r="Y60" s="111">
        <v>19.5</v>
      </c>
      <c r="Z60" s="111">
        <v>16.3</v>
      </c>
    </row>
    <row r="61" spans="1:26">
      <c r="A61" s="111" t="s">
        <v>85</v>
      </c>
      <c r="B61" s="111">
        <v>8</v>
      </c>
      <c r="C61" s="111">
        <v>7.4</v>
      </c>
      <c r="D61" s="111">
        <v>8</v>
      </c>
      <c r="E61" s="111">
        <v>8.6</v>
      </c>
      <c r="F61" s="111">
        <v>9.1999999999999993</v>
      </c>
      <c r="G61" s="111">
        <v>9.8000000000000007</v>
      </c>
      <c r="H61" s="111">
        <v>10</v>
      </c>
      <c r="I61" s="111">
        <v>10.6</v>
      </c>
      <c r="J61" s="111">
        <v>11.2</v>
      </c>
      <c r="K61" s="111">
        <v>11.8</v>
      </c>
      <c r="L61" s="111">
        <v>12.4</v>
      </c>
      <c r="M61" s="111">
        <v>13</v>
      </c>
      <c r="N61" s="111">
        <v>12.4</v>
      </c>
      <c r="O61" s="111">
        <v>11.8</v>
      </c>
      <c r="P61" s="111">
        <v>11.2</v>
      </c>
      <c r="Q61" s="111">
        <v>11.8</v>
      </c>
      <c r="R61" s="111">
        <v>12.4</v>
      </c>
      <c r="S61" s="111">
        <v>13</v>
      </c>
      <c r="T61" s="111">
        <v>13.6</v>
      </c>
      <c r="U61" s="111">
        <v>14.2</v>
      </c>
      <c r="V61" s="111">
        <v>14.4</v>
      </c>
      <c r="W61" s="111">
        <v>15</v>
      </c>
      <c r="X61" s="111">
        <v>15.6</v>
      </c>
      <c r="Y61" s="111">
        <v>16.2</v>
      </c>
      <c r="Z61" s="111">
        <v>11.7</v>
      </c>
    </row>
    <row r="62" spans="1:26">
      <c r="A62" s="111" t="s">
        <v>84</v>
      </c>
      <c r="B62" s="111">
        <v>7</v>
      </c>
      <c r="C62" s="111">
        <v>7.6</v>
      </c>
      <c r="D62" s="111">
        <v>8.1999999999999993</v>
      </c>
      <c r="E62" s="111">
        <v>8.8000000000000007</v>
      </c>
      <c r="F62" s="111">
        <v>9.4</v>
      </c>
      <c r="G62" s="111">
        <v>10</v>
      </c>
      <c r="H62" s="111">
        <v>10.6</v>
      </c>
      <c r="I62" s="111">
        <v>10</v>
      </c>
      <c r="J62" s="111">
        <v>9.8000000000000007</v>
      </c>
      <c r="K62" s="111">
        <v>9.6</v>
      </c>
      <c r="L62" s="111">
        <v>10.199999999999999</v>
      </c>
      <c r="M62" s="111">
        <v>10.8</v>
      </c>
      <c r="N62" s="111">
        <v>11.4</v>
      </c>
      <c r="O62" s="111">
        <v>12</v>
      </c>
      <c r="P62" s="111">
        <v>11.8</v>
      </c>
      <c r="Q62" s="111">
        <v>12.4</v>
      </c>
      <c r="R62" s="111">
        <v>12.6</v>
      </c>
      <c r="S62" s="111">
        <v>13.2</v>
      </c>
      <c r="T62" s="111">
        <v>13</v>
      </c>
      <c r="U62" s="111">
        <v>13.2</v>
      </c>
      <c r="V62" s="111">
        <v>13.8</v>
      </c>
      <c r="W62" s="111">
        <v>14.4</v>
      </c>
      <c r="X62" s="111">
        <v>15</v>
      </c>
      <c r="Y62" s="111">
        <v>15.6</v>
      </c>
      <c r="Z62" s="111">
        <v>11.3</v>
      </c>
    </row>
    <row r="63" spans="1:26">
      <c r="A63" s="111" t="s">
        <v>86</v>
      </c>
      <c r="B63" s="111">
        <v>8.5</v>
      </c>
      <c r="C63" s="111">
        <v>7.9</v>
      </c>
      <c r="D63" s="111">
        <v>7.3</v>
      </c>
      <c r="E63" s="111">
        <v>7.1</v>
      </c>
      <c r="F63" s="111">
        <v>7.7</v>
      </c>
      <c r="G63" s="111">
        <v>8.3000000000000007</v>
      </c>
      <c r="H63" s="111">
        <v>8.9</v>
      </c>
      <c r="I63" s="111">
        <v>9.5</v>
      </c>
      <c r="J63" s="111">
        <v>9.3000000000000007</v>
      </c>
      <c r="K63" s="111">
        <v>8.6999999999999993</v>
      </c>
      <c r="L63" s="111">
        <v>8.9</v>
      </c>
      <c r="M63" s="111">
        <v>9.5</v>
      </c>
      <c r="N63" s="111">
        <v>10.1</v>
      </c>
      <c r="O63" s="111">
        <v>10.7</v>
      </c>
      <c r="P63" s="111">
        <v>11.3</v>
      </c>
      <c r="Q63" s="111">
        <v>11.9</v>
      </c>
      <c r="R63" s="111">
        <v>12.5</v>
      </c>
      <c r="S63" s="111">
        <v>12.3</v>
      </c>
      <c r="T63" s="111">
        <v>12.1</v>
      </c>
      <c r="U63" s="111">
        <v>11.9</v>
      </c>
      <c r="V63" s="111">
        <v>11.7</v>
      </c>
      <c r="W63" s="111">
        <v>11.1</v>
      </c>
      <c r="X63" s="111">
        <v>10.5</v>
      </c>
      <c r="Y63" s="111">
        <v>10.3</v>
      </c>
      <c r="Z63" s="111">
        <v>9.9</v>
      </c>
    </row>
    <row r="64" spans="1:26">
      <c r="A64" s="111" t="s">
        <v>88</v>
      </c>
      <c r="B64" s="111">
        <v>9.5</v>
      </c>
      <c r="C64" s="111">
        <v>8.9</v>
      </c>
      <c r="D64" s="111">
        <v>8.3000000000000007</v>
      </c>
      <c r="E64" s="111">
        <v>7.7</v>
      </c>
      <c r="F64" s="111">
        <v>7.9</v>
      </c>
      <c r="G64" s="111">
        <v>8.1</v>
      </c>
      <c r="H64" s="111">
        <v>8.3000000000000007</v>
      </c>
      <c r="I64" s="111">
        <v>7.7</v>
      </c>
      <c r="J64" s="111">
        <v>7.1</v>
      </c>
      <c r="K64" s="111">
        <v>7.7</v>
      </c>
      <c r="L64" s="111">
        <v>8.3000000000000007</v>
      </c>
      <c r="M64" s="111">
        <v>8.9</v>
      </c>
      <c r="N64" s="111">
        <v>9.5</v>
      </c>
      <c r="O64" s="111">
        <v>8.9</v>
      </c>
      <c r="P64" s="111">
        <v>8.3000000000000007</v>
      </c>
      <c r="Q64" s="111">
        <v>7.7</v>
      </c>
      <c r="R64" s="111">
        <v>7.9</v>
      </c>
      <c r="S64" s="111">
        <v>8.1</v>
      </c>
      <c r="T64" s="111">
        <v>7.9</v>
      </c>
      <c r="U64" s="111">
        <v>8.5</v>
      </c>
      <c r="V64" s="111">
        <v>9.1</v>
      </c>
      <c r="W64" s="111">
        <v>9.6999999999999993</v>
      </c>
      <c r="X64" s="111">
        <v>9.9</v>
      </c>
      <c r="Y64" s="111">
        <v>10.1</v>
      </c>
      <c r="Z64" s="111">
        <v>8.5</v>
      </c>
    </row>
    <row r="65" spans="1:26">
      <c r="A65" s="111" t="s">
        <v>87</v>
      </c>
      <c r="B65" s="111">
        <v>6.2</v>
      </c>
      <c r="C65" s="111">
        <v>5.6</v>
      </c>
      <c r="D65" s="111">
        <v>6.2</v>
      </c>
      <c r="E65" s="111">
        <v>6</v>
      </c>
      <c r="F65" s="111">
        <v>5.4</v>
      </c>
      <c r="G65" s="111">
        <v>4.8</v>
      </c>
      <c r="H65" s="111">
        <v>4.5</v>
      </c>
      <c r="I65" s="111">
        <v>5.0999999999999996</v>
      </c>
      <c r="J65" s="111">
        <v>5.7</v>
      </c>
      <c r="K65" s="111">
        <v>6.3</v>
      </c>
      <c r="L65" s="111">
        <v>6.9</v>
      </c>
      <c r="M65" s="111">
        <v>7.5</v>
      </c>
      <c r="N65" s="111">
        <v>8.1</v>
      </c>
      <c r="O65" s="111">
        <v>8.6999999999999993</v>
      </c>
      <c r="P65" s="111">
        <v>9.3000000000000007</v>
      </c>
      <c r="Q65" s="111">
        <v>9.9</v>
      </c>
      <c r="R65" s="111">
        <v>10.5</v>
      </c>
      <c r="S65" s="111">
        <v>10.7</v>
      </c>
      <c r="T65" s="111">
        <v>10.1</v>
      </c>
      <c r="U65" s="111">
        <v>10.7</v>
      </c>
      <c r="V65" s="111">
        <v>10.5</v>
      </c>
      <c r="W65" s="111">
        <v>9.9</v>
      </c>
      <c r="X65" s="111">
        <v>9.3000000000000007</v>
      </c>
      <c r="Y65" s="111">
        <v>8.6999999999999993</v>
      </c>
      <c r="Z65" s="111">
        <v>7.8</v>
      </c>
    </row>
    <row r="66" spans="1:26">
      <c r="A66" s="112" t="s">
        <v>55</v>
      </c>
      <c r="B66" s="111">
        <v>15.7</v>
      </c>
      <c r="C66" s="111">
        <v>15.6</v>
      </c>
      <c r="D66" s="111">
        <v>15.8</v>
      </c>
      <c r="E66" s="111">
        <v>15.9</v>
      </c>
      <c r="F66" s="111">
        <v>16.3</v>
      </c>
      <c r="G66" s="111">
        <v>16.600000000000001</v>
      </c>
      <c r="H66" s="111">
        <v>16.899999999999999</v>
      </c>
      <c r="I66" s="111">
        <v>17.100000000000001</v>
      </c>
      <c r="J66" s="111">
        <v>17.3</v>
      </c>
      <c r="K66" s="111">
        <v>17.5</v>
      </c>
      <c r="L66" s="111">
        <v>17.8</v>
      </c>
      <c r="M66" s="111">
        <v>18.100000000000001</v>
      </c>
      <c r="N66" s="111">
        <v>18.399999999999999</v>
      </c>
      <c r="O66" s="111">
        <v>18.399999999999999</v>
      </c>
      <c r="P66" s="111">
        <v>18.600000000000001</v>
      </c>
      <c r="Q66" s="111">
        <v>18.899999999999999</v>
      </c>
      <c r="R66" s="111">
        <v>19.3</v>
      </c>
      <c r="S66" s="111">
        <v>19.600000000000001</v>
      </c>
      <c r="T66" s="111">
        <v>19.7</v>
      </c>
      <c r="U66" s="111">
        <v>20.100000000000001</v>
      </c>
      <c r="V66" s="111">
        <v>20.3</v>
      </c>
      <c r="W66" s="111">
        <v>20.5</v>
      </c>
      <c r="X66" s="111">
        <v>20.6</v>
      </c>
      <c r="Y66" s="111">
        <v>20.8</v>
      </c>
      <c r="Z66" s="111"/>
    </row>
    <row r="67" spans="1:26" ht="23">
      <c r="A67" s="113" t="s">
        <v>89</v>
      </c>
    </row>
    <row r="68" spans="1:26" ht="18">
      <c r="A68" s="114" t="s">
        <v>90</v>
      </c>
    </row>
    <row r="69" spans="1:26" ht="18">
      <c r="A69" s="107" t="s">
        <v>91</v>
      </c>
    </row>
    <row r="70" spans="1:26" ht="18">
      <c r="A70" s="114" t="s">
        <v>92</v>
      </c>
    </row>
    <row r="71" spans="1:26" ht="18">
      <c r="A71" s="107" t="s">
        <v>93</v>
      </c>
    </row>
    <row r="72" spans="1:26" ht="18">
      <c r="A72" s="114" t="s">
        <v>94</v>
      </c>
    </row>
    <row r="73" spans="1:26" ht="18">
      <c r="A73" s="107" t="s">
        <v>103</v>
      </c>
    </row>
    <row r="74" spans="1:26">
      <c r="A74" s="2" t="s">
        <v>104</v>
      </c>
    </row>
    <row r="75" spans="1:26">
      <c r="A75" t="s">
        <v>98</v>
      </c>
    </row>
  </sheetData>
  <hyperlinks>
    <hyperlink ref="A1" r:id="rId1" display="https://f1fantasytools.com/team-calculator" xr:uid="{00000000-0004-0000-0C00-000000000000}"/>
    <hyperlink ref="A2" r:id="rId2" display="https://f1fantasytools.com/budget-builder" xr:uid="{00000000-0004-0000-0C00-000001000000}"/>
    <hyperlink ref="A3" r:id="rId3" display="https://f1fantasytools.com/live" xr:uid="{00000000-0004-0000-0C00-000002000000}"/>
    <hyperlink ref="A4" r:id="rId4" display="https://f1fantasytools.com/season-summary" xr:uid="{00000000-0004-0000-0C00-000003000000}"/>
    <hyperlink ref="A5" r:id="rId5" display="https://f1fantasytools.com/elite-data" xr:uid="{00000000-0004-0000-0C00-000004000000}"/>
    <hyperlink ref="A6" r:id="rId6" display="https://f1fantasytools.com/statistics" xr:uid="{00000000-0004-0000-0C00-000005000000}"/>
    <hyperlink ref="A7" r:id="rId7" display="https://f1fantasytools.com/team-analyzer" xr:uid="{00000000-0004-0000-0C00-000006000000}"/>
    <hyperlink ref="A8" r:id="rId8" display="https://f1fantasytools.com/league-analyzer" xr:uid="{00000000-0004-0000-0C00-000007000000}"/>
    <hyperlink ref="A9" r:id="rId9" display="https://f1fantasytools.com/hindsight" xr:uid="{00000000-0004-0000-0C00-000008000000}"/>
    <hyperlink ref="A12" r:id="rId10" display="https://f1fantasytools.com/pricing" xr:uid="{00000000-0004-0000-0C00-000009000000}"/>
    <hyperlink ref="A13" r:id="rId11" display="https://f1fantasytools.com/pricing" xr:uid="{00000000-0004-0000-0C00-00000A000000}"/>
    <hyperlink ref="A14" r:id="rId12" display="https://f1fantasytools.com/login" xr:uid="{00000000-0004-0000-0C00-00000B000000}"/>
    <hyperlink ref="A74" r:id="rId13" display="https://f1fantasytools.com/legal" xr:uid="{00000000-0004-0000-0C00-00000C000000}"/>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7"/>
  </sheetPr>
  <dimension ref="A1:Z114"/>
  <sheetViews>
    <sheetView showGridLines="0" topLeftCell="A39" workbookViewId="0">
      <selection activeCell="AB54" sqref="AB54"/>
    </sheetView>
  </sheetViews>
  <sheetFormatPr baseColWidth="10" defaultRowHeight="16"/>
  <cols>
    <col min="1" max="1" width="4.6640625" bestFit="1" customWidth="1"/>
    <col min="2" max="8" width="4.5" bestFit="1" customWidth="1"/>
    <col min="9" max="9" width="3.6640625" bestFit="1" customWidth="1"/>
    <col min="10" max="26" width="4.5" bestFit="1" customWidth="1"/>
  </cols>
  <sheetData>
    <row r="1" spans="1:26" ht="42" customHeight="1">
      <c r="A1" s="149" t="s">
        <v>0</v>
      </c>
      <c r="B1" s="150"/>
      <c r="C1" s="150"/>
      <c r="D1" s="150"/>
      <c r="E1" s="150"/>
      <c r="F1" s="150"/>
      <c r="G1" s="150"/>
      <c r="H1" s="150"/>
      <c r="I1" s="150"/>
      <c r="J1" s="150"/>
      <c r="K1" s="150"/>
      <c r="L1" s="150"/>
      <c r="M1" s="150"/>
      <c r="N1" s="150"/>
      <c r="O1" s="150"/>
      <c r="P1" s="150"/>
      <c r="Q1" s="150"/>
      <c r="R1" s="150"/>
      <c r="S1" s="150"/>
      <c r="T1" s="150"/>
      <c r="U1" s="150"/>
      <c r="V1" s="150"/>
      <c r="W1" s="150"/>
      <c r="X1" s="150"/>
      <c r="Y1" s="150"/>
      <c r="Z1" s="150"/>
    </row>
    <row r="2" spans="1:26">
      <c r="A2" s="2" t="s">
        <v>1</v>
      </c>
    </row>
    <row r="3" spans="1:26">
      <c r="A3" s="2" t="s">
        <v>2</v>
      </c>
    </row>
    <row r="4" spans="1:26">
      <c r="A4" s="2" t="s">
        <v>3</v>
      </c>
    </row>
    <row r="5" spans="1:26">
      <c r="A5" s="2" t="s">
        <v>4</v>
      </c>
    </row>
    <row r="6" spans="1:26">
      <c r="A6" s="2" t="s">
        <v>5</v>
      </c>
    </row>
    <row r="7" spans="1:26">
      <c r="A7" s="2" t="s">
        <v>6</v>
      </c>
    </row>
    <row r="8" spans="1:26">
      <c r="A8" s="2" t="s">
        <v>7</v>
      </c>
    </row>
    <row r="9" spans="1:26">
      <c r="A9" s="2" t="s">
        <v>8</v>
      </c>
    </row>
    <row r="10" spans="1:26">
      <c r="A10" s="2" t="s">
        <v>9</v>
      </c>
    </row>
    <row r="11" spans="1:26">
      <c r="A11" s="2" t="s">
        <v>10</v>
      </c>
    </row>
    <row r="12" spans="1:26">
      <c r="A12" s="1" t="s">
        <v>11</v>
      </c>
    </row>
    <row r="13" spans="1:26">
      <c r="A13" s="1" t="s">
        <v>12</v>
      </c>
    </row>
    <row r="14" spans="1:26">
      <c r="A14" s="2" t="s">
        <v>13</v>
      </c>
    </row>
    <row r="15" spans="1:26">
      <c r="A15" s="2" t="s">
        <v>14</v>
      </c>
    </row>
    <row r="16" spans="1:26">
      <c r="A16" s="2" t="s">
        <v>15</v>
      </c>
    </row>
    <row r="17" spans="1:1">
      <c r="A17" s="2" t="s">
        <v>16</v>
      </c>
    </row>
    <row r="18" spans="1:1">
      <c r="A18" s="1" t="s">
        <v>17</v>
      </c>
    </row>
    <row r="19" spans="1:1">
      <c r="A19" s="1" t="s">
        <v>18</v>
      </c>
    </row>
    <row r="20" spans="1:1">
      <c r="A20" s="2" t="s">
        <v>1</v>
      </c>
    </row>
    <row r="21" spans="1:1">
      <c r="A21" s="3" t="s">
        <v>2</v>
      </c>
    </row>
    <row r="22" spans="1:1">
      <c r="A22" s="3" t="s">
        <v>3</v>
      </c>
    </row>
    <row r="23" spans="1:1">
      <c r="A23" s="3" t="s">
        <v>4</v>
      </c>
    </row>
    <row r="24" spans="1:1">
      <c r="A24" s="3" t="s">
        <v>5</v>
      </c>
    </row>
    <row r="25" spans="1:1">
      <c r="A25" s="3" t="s">
        <v>6</v>
      </c>
    </row>
    <row r="26" spans="1:1">
      <c r="A26" s="3" t="s">
        <v>7</v>
      </c>
    </row>
    <row r="27" spans="1:1">
      <c r="A27" s="3" t="s">
        <v>8</v>
      </c>
    </row>
    <row r="28" spans="1:1">
      <c r="A28" s="3" t="s">
        <v>9</v>
      </c>
    </row>
    <row r="29" spans="1:1">
      <c r="A29" s="3" t="s">
        <v>10</v>
      </c>
    </row>
    <row r="30" spans="1:1">
      <c r="A30" s="1" t="s">
        <v>18</v>
      </c>
    </row>
    <row r="31" spans="1:1">
      <c r="A31" s="1" t="s">
        <v>19</v>
      </c>
    </row>
    <row r="33" spans="1:26" ht="23">
      <c r="A33" s="4" t="s">
        <v>7</v>
      </c>
    </row>
    <row r="35" spans="1:26">
      <c r="A35" s="1" t="s">
        <v>20</v>
      </c>
    </row>
    <row r="36" spans="1:26" ht="28" customHeight="1">
      <c r="A36" s="149" t="s">
        <v>21</v>
      </c>
      <c r="B36" s="150"/>
      <c r="C36" s="150"/>
      <c r="D36" s="150"/>
      <c r="E36" s="150"/>
      <c r="F36" s="150"/>
      <c r="G36" s="150"/>
      <c r="H36" s="150"/>
      <c r="I36" s="150"/>
      <c r="J36" s="150"/>
      <c r="K36" s="150"/>
      <c r="L36" s="150"/>
      <c r="M36" s="150"/>
      <c r="N36" s="150"/>
      <c r="O36" s="150"/>
      <c r="P36" s="150"/>
      <c r="Q36" s="150"/>
      <c r="R36" s="150"/>
      <c r="S36" s="150"/>
      <c r="T36" s="150"/>
      <c r="U36" s="150"/>
      <c r="V36" s="150"/>
      <c r="W36" s="150"/>
      <c r="X36" s="150"/>
      <c r="Y36" s="150"/>
      <c r="Z36" s="150"/>
    </row>
    <row r="38" spans="1:26">
      <c r="A38" s="1" t="s">
        <v>22</v>
      </c>
    </row>
    <row r="39" spans="1:26">
      <c r="A39" s="1" t="s">
        <v>23</v>
      </c>
    </row>
    <row r="40" spans="1:26">
      <c r="A40" s="1" t="s">
        <v>24</v>
      </c>
    </row>
    <row r="41" spans="1:26">
      <c r="A41" s="1" t="s">
        <v>25</v>
      </c>
    </row>
    <row r="42" spans="1:26">
      <c r="A42" s="1" t="s">
        <v>26</v>
      </c>
    </row>
    <row r="43" spans="1:26">
      <c r="A43" s="1" t="s">
        <v>27</v>
      </c>
    </row>
    <row r="44" spans="1:26">
      <c r="A44" s="1" t="s">
        <v>28</v>
      </c>
    </row>
    <row r="45" spans="1:26">
      <c r="A45" s="1" t="s">
        <v>29</v>
      </c>
    </row>
    <row r="46" spans="1:26">
      <c r="A46" s="1" t="s">
        <v>23</v>
      </c>
    </row>
    <row r="47" spans="1:26">
      <c r="A47" s="1" t="s">
        <v>24</v>
      </c>
    </row>
    <row r="48" spans="1:26">
      <c r="A48" s="1" t="s">
        <v>25</v>
      </c>
    </row>
    <row r="49" spans="1:26">
      <c r="A49" s="151" t="s">
        <v>30</v>
      </c>
      <c r="B49" s="5" t="s">
        <v>31</v>
      </c>
      <c r="C49" s="5" t="s">
        <v>32</v>
      </c>
      <c r="D49" s="5" t="s">
        <v>33</v>
      </c>
      <c r="E49" s="5" t="s">
        <v>34</v>
      </c>
      <c r="F49" s="5" t="s">
        <v>35</v>
      </c>
      <c r="G49" s="5" t="s">
        <v>36</v>
      </c>
      <c r="H49" s="5" t="s">
        <v>37</v>
      </c>
      <c r="I49" s="5" t="s">
        <v>38</v>
      </c>
      <c r="J49" s="5" t="s">
        <v>39</v>
      </c>
      <c r="K49" s="5" t="s">
        <v>40</v>
      </c>
      <c r="L49" s="5" t="s">
        <v>41</v>
      </c>
      <c r="M49" s="5" t="s">
        <v>42</v>
      </c>
      <c r="N49" s="5" t="s">
        <v>43</v>
      </c>
      <c r="O49" s="5" t="s">
        <v>44</v>
      </c>
      <c r="P49" s="5" t="s">
        <v>45</v>
      </c>
      <c r="Q49" s="5" t="s">
        <v>46</v>
      </c>
      <c r="R49" s="5" t="s">
        <v>47</v>
      </c>
      <c r="S49" s="5" t="s">
        <v>48</v>
      </c>
      <c r="T49" s="5" t="s">
        <v>49</v>
      </c>
      <c r="U49" s="5" t="s">
        <v>50</v>
      </c>
      <c r="V49" s="5" t="s">
        <v>51</v>
      </c>
      <c r="W49" s="5" t="s">
        <v>52</v>
      </c>
      <c r="X49" s="5" t="s">
        <v>53</v>
      </c>
      <c r="Y49" s="5" t="s">
        <v>54</v>
      </c>
      <c r="Z49" s="151" t="s">
        <v>55</v>
      </c>
    </row>
    <row r="50" spans="1:26">
      <c r="A50" s="151"/>
      <c r="B50" s="5"/>
      <c r="C50" s="5"/>
      <c r="D50" s="5"/>
      <c r="E50" s="5"/>
      <c r="F50" s="5"/>
      <c r="G50" s="5"/>
      <c r="H50" s="5"/>
      <c r="I50" s="5"/>
      <c r="J50" s="5"/>
      <c r="K50" s="5"/>
      <c r="L50" s="5"/>
      <c r="M50" s="5"/>
      <c r="N50" s="5"/>
      <c r="O50" s="5"/>
      <c r="P50" s="5"/>
      <c r="Q50" s="5"/>
      <c r="R50" s="5"/>
      <c r="S50" s="5"/>
      <c r="T50" s="5"/>
      <c r="U50" s="5"/>
      <c r="V50" s="5"/>
      <c r="W50" s="5"/>
      <c r="X50" s="5"/>
      <c r="Y50" s="5"/>
      <c r="Z50" s="151"/>
    </row>
    <row r="51" spans="1:26">
      <c r="A51" s="151"/>
      <c r="B51" s="5" t="s">
        <v>31</v>
      </c>
      <c r="C51" s="5" t="s">
        <v>32</v>
      </c>
      <c r="D51" s="5" t="s">
        <v>33</v>
      </c>
      <c r="E51" s="5" t="s">
        <v>34</v>
      </c>
      <c r="F51" s="5" t="s">
        <v>35</v>
      </c>
      <c r="G51" s="5" t="s">
        <v>36</v>
      </c>
      <c r="H51" s="5" t="s">
        <v>37</v>
      </c>
      <c r="I51" s="5" t="s">
        <v>38</v>
      </c>
      <c r="J51" s="5" t="s">
        <v>39</v>
      </c>
      <c r="K51" s="5" t="s">
        <v>40</v>
      </c>
      <c r="L51" s="5" t="s">
        <v>41</v>
      </c>
      <c r="M51" s="5" t="s">
        <v>42</v>
      </c>
      <c r="N51" s="5" t="s">
        <v>43</v>
      </c>
      <c r="O51" s="5" t="s">
        <v>44</v>
      </c>
      <c r="P51" s="5" t="s">
        <v>45</v>
      </c>
      <c r="Q51" s="5" t="s">
        <v>46</v>
      </c>
      <c r="R51" s="5" t="s">
        <v>47</v>
      </c>
      <c r="S51" s="5" t="s">
        <v>48</v>
      </c>
      <c r="T51" s="5" t="s">
        <v>49</v>
      </c>
      <c r="U51" s="5" t="s">
        <v>50</v>
      </c>
      <c r="V51" s="5" t="s">
        <v>51</v>
      </c>
      <c r="W51" s="5" t="s">
        <v>52</v>
      </c>
      <c r="X51" s="5" t="s">
        <v>53</v>
      </c>
      <c r="Y51" s="5" t="s">
        <v>54</v>
      </c>
      <c r="Z51" s="151"/>
    </row>
    <row r="52" spans="1:26">
      <c r="A52" s="151"/>
      <c r="B52" s="5"/>
      <c r="C52" s="5"/>
      <c r="D52" s="5"/>
      <c r="E52" s="5"/>
      <c r="F52" s="5"/>
      <c r="G52" s="5"/>
      <c r="H52" s="5"/>
      <c r="I52" s="5"/>
      <c r="J52" s="5"/>
      <c r="K52" s="5"/>
      <c r="L52" s="5"/>
      <c r="M52" s="5"/>
      <c r="N52" s="5"/>
      <c r="O52" s="5"/>
      <c r="P52" s="5"/>
      <c r="Q52" s="5"/>
      <c r="R52" s="5"/>
      <c r="S52" s="5"/>
      <c r="T52" s="5"/>
      <c r="U52" s="5"/>
      <c r="V52" s="5"/>
      <c r="W52" s="5"/>
      <c r="X52" s="5"/>
      <c r="Y52" s="5"/>
      <c r="Z52" s="151"/>
    </row>
    <row r="53" spans="1:26">
      <c r="A53" s="7" t="s">
        <v>56</v>
      </c>
      <c r="B53" s="7">
        <v>29</v>
      </c>
      <c r="C53" s="7">
        <v>30</v>
      </c>
      <c r="D53" s="7">
        <v>36</v>
      </c>
      <c r="E53" s="7">
        <v>22</v>
      </c>
      <c r="F53" s="7">
        <v>38</v>
      </c>
      <c r="G53" s="7">
        <v>12</v>
      </c>
      <c r="H53" s="7">
        <v>57</v>
      </c>
      <c r="I53" s="7">
        <v>18</v>
      </c>
      <c r="J53" s="7">
        <v>17</v>
      </c>
      <c r="K53" s="7">
        <v>29</v>
      </c>
      <c r="L53" s="7">
        <v>-15</v>
      </c>
      <c r="M53" s="7">
        <v>21</v>
      </c>
      <c r="N53" s="7">
        <v>30</v>
      </c>
      <c r="O53" s="7">
        <v>11</v>
      </c>
      <c r="P53" s="7">
        <v>29</v>
      </c>
      <c r="Q53" s="7">
        <v>46</v>
      </c>
      <c r="R53" s="7">
        <v>45</v>
      </c>
      <c r="S53" s="7">
        <v>27</v>
      </c>
      <c r="T53" s="7">
        <v>48</v>
      </c>
      <c r="U53" s="7">
        <v>26</v>
      </c>
      <c r="V53" s="7">
        <v>63</v>
      </c>
      <c r="W53" s="7">
        <v>56</v>
      </c>
      <c r="X53" s="7">
        <v>55</v>
      </c>
      <c r="Y53" s="7">
        <v>46</v>
      </c>
      <c r="Z53" s="7">
        <v>32.299999999999997</v>
      </c>
    </row>
    <row r="54" spans="1:26">
      <c r="A54" s="7" t="s">
        <v>57</v>
      </c>
      <c r="B54" s="7">
        <v>59</v>
      </c>
      <c r="C54" s="7">
        <v>41</v>
      </c>
      <c r="D54" s="7">
        <v>27</v>
      </c>
      <c r="E54" s="7">
        <v>32</v>
      </c>
      <c r="F54" s="7">
        <v>36</v>
      </c>
      <c r="G54" s="7">
        <v>55</v>
      </c>
      <c r="H54" s="7">
        <v>31</v>
      </c>
      <c r="I54" s="7">
        <v>45</v>
      </c>
      <c r="J54" s="7">
        <v>28</v>
      </c>
      <c r="K54" s="7">
        <v>-2</v>
      </c>
      <c r="L54" s="7">
        <v>36</v>
      </c>
      <c r="M54" s="7">
        <v>37</v>
      </c>
      <c r="N54" s="7">
        <v>39</v>
      </c>
      <c r="O54" s="7">
        <v>36</v>
      </c>
      <c r="P54" s="7">
        <v>-5</v>
      </c>
      <c r="Q54" s="7">
        <v>37</v>
      </c>
      <c r="R54" s="7">
        <v>12</v>
      </c>
      <c r="S54" s="7">
        <v>25</v>
      </c>
      <c r="T54" s="7">
        <v>9</v>
      </c>
      <c r="U54" s="7">
        <v>36</v>
      </c>
      <c r="V54" s="7">
        <v>49</v>
      </c>
      <c r="W54" s="7">
        <v>-10</v>
      </c>
      <c r="X54" s="7">
        <v>25</v>
      </c>
      <c r="Y54" s="7">
        <v>29</v>
      </c>
      <c r="Z54" s="7">
        <v>29.5</v>
      </c>
    </row>
    <row r="55" spans="1:26">
      <c r="A55" s="7" t="s">
        <v>58</v>
      </c>
      <c r="B55" s="7">
        <v>10</v>
      </c>
      <c r="C55" s="7">
        <v>45</v>
      </c>
      <c r="D55" s="7">
        <v>24</v>
      </c>
      <c r="E55" s="7">
        <v>45</v>
      </c>
      <c r="F55" s="7">
        <v>38</v>
      </c>
      <c r="G55" s="7">
        <v>58</v>
      </c>
      <c r="H55" s="7">
        <v>31</v>
      </c>
      <c r="I55" s="7">
        <v>23</v>
      </c>
      <c r="J55" s="7">
        <v>45</v>
      </c>
      <c r="K55" s="7">
        <v>22</v>
      </c>
      <c r="L55" s="7">
        <v>39</v>
      </c>
      <c r="M55" s="7">
        <v>38</v>
      </c>
      <c r="N55" s="7">
        <v>42</v>
      </c>
      <c r="O55" s="7">
        <v>29</v>
      </c>
      <c r="P55" s="7">
        <v>45</v>
      </c>
      <c r="Q55" s="7">
        <v>25</v>
      </c>
      <c r="R55" s="7">
        <v>-16</v>
      </c>
      <c r="S55" s="7">
        <v>19</v>
      </c>
      <c r="T55" s="7">
        <v>-2</v>
      </c>
      <c r="U55" s="7">
        <v>25</v>
      </c>
      <c r="V55" s="7">
        <v>-1</v>
      </c>
      <c r="W55" s="7">
        <v>-14</v>
      </c>
      <c r="X55" s="7">
        <v>46</v>
      </c>
      <c r="Y55" s="7">
        <v>28</v>
      </c>
      <c r="Z55" s="7">
        <v>26.8</v>
      </c>
    </row>
    <row r="56" spans="1:26">
      <c r="A56" s="7" t="s">
        <v>59</v>
      </c>
      <c r="B56" s="7">
        <v>25</v>
      </c>
      <c r="C56" s="7">
        <v>35</v>
      </c>
      <c r="D56" s="7">
        <v>18</v>
      </c>
      <c r="E56" s="7">
        <v>31</v>
      </c>
      <c r="F56" s="7">
        <v>16</v>
      </c>
      <c r="G56" s="7">
        <v>30</v>
      </c>
      <c r="H56" s="7">
        <v>15</v>
      </c>
      <c r="I56" s="7">
        <v>3</v>
      </c>
      <c r="J56" s="7">
        <v>21</v>
      </c>
      <c r="K56" s="7">
        <v>47</v>
      </c>
      <c r="L56" s="7">
        <v>22</v>
      </c>
      <c r="M56" s="7">
        <v>8</v>
      </c>
      <c r="N56" s="7">
        <v>19</v>
      </c>
      <c r="O56" s="7">
        <v>37</v>
      </c>
      <c r="P56" s="7">
        <v>19</v>
      </c>
      <c r="Q56" s="7">
        <v>19</v>
      </c>
      <c r="R56" s="7">
        <v>30</v>
      </c>
      <c r="S56" s="7">
        <v>35</v>
      </c>
      <c r="T56" s="7">
        <v>24</v>
      </c>
      <c r="U56" s="7">
        <v>23</v>
      </c>
      <c r="V56" s="7">
        <v>31</v>
      </c>
      <c r="W56" s="7">
        <v>30</v>
      </c>
      <c r="X56" s="7">
        <v>22</v>
      </c>
      <c r="Y56" s="7">
        <v>20</v>
      </c>
      <c r="Z56" s="7">
        <v>24.2</v>
      </c>
    </row>
    <row r="57" spans="1:26">
      <c r="A57" s="7" t="s">
        <v>60</v>
      </c>
      <c r="B57" s="7">
        <v>12</v>
      </c>
      <c r="C57" s="7">
        <v>-12</v>
      </c>
      <c r="D57" s="7">
        <v>20</v>
      </c>
      <c r="E57" s="7">
        <v>20</v>
      </c>
      <c r="F57" s="7">
        <v>25</v>
      </c>
      <c r="G57" s="7">
        <v>-8</v>
      </c>
      <c r="H57" s="7">
        <v>24</v>
      </c>
      <c r="I57" s="7">
        <v>37</v>
      </c>
      <c r="J57" s="7">
        <v>27</v>
      </c>
      <c r="K57" s="7">
        <v>17</v>
      </c>
      <c r="L57" s="7">
        <v>25</v>
      </c>
      <c r="M57" s="7">
        <v>2</v>
      </c>
      <c r="N57" s="7">
        <v>30</v>
      </c>
      <c r="O57" s="7">
        <v>20</v>
      </c>
      <c r="P57" s="7">
        <v>-13</v>
      </c>
      <c r="Q57" s="7">
        <v>21</v>
      </c>
      <c r="R57" s="7">
        <v>6</v>
      </c>
      <c r="S57" s="7">
        <v>16</v>
      </c>
      <c r="T57" s="7">
        <v>48</v>
      </c>
      <c r="U57" s="7">
        <v>29</v>
      </c>
      <c r="V57" s="7">
        <v>-2</v>
      </c>
      <c r="W57" s="7">
        <v>23</v>
      </c>
      <c r="X57" s="7">
        <v>5</v>
      </c>
      <c r="Y57" s="7">
        <v>35</v>
      </c>
      <c r="Z57" s="7">
        <v>17</v>
      </c>
    </row>
    <row r="58" spans="1:26">
      <c r="A58" s="7" t="s">
        <v>61</v>
      </c>
      <c r="B58" s="7">
        <v>4</v>
      </c>
      <c r="C58" s="7">
        <v>-1</v>
      </c>
      <c r="D58" s="7">
        <v>11</v>
      </c>
      <c r="E58" s="7">
        <v>38</v>
      </c>
      <c r="F58" s="7">
        <v>14</v>
      </c>
      <c r="G58" s="7">
        <v>32</v>
      </c>
      <c r="H58" s="7">
        <v>25</v>
      </c>
      <c r="I58" s="7">
        <v>19</v>
      </c>
      <c r="J58" s="7">
        <v>14</v>
      </c>
      <c r="K58" s="7">
        <v>15</v>
      </c>
      <c r="L58" s="7">
        <v>22</v>
      </c>
      <c r="M58" s="7">
        <v>24</v>
      </c>
      <c r="N58" s="7">
        <v>40</v>
      </c>
      <c r="O58" s="7">
        <v>4</v>
      </c>
      <c r="P58" s="7">
        <v>-16</v>
      </c>
      <c r="Q58" s="7">
        <v>26</v>
      </c>
      <c r="R58" s="7">
        <v>12</v>
      </c>
      <c r="S58" s="7">
        <v>17</v>
      </c>
      <c r="T58" s="7">
        <v>32</v>
      </c>
      <c r="U58" s="7">
        <v>14</v>
      </c>
      <c r="V58" s="7">
        <v>-11</v>
      </c>
      <c r="W58" s="7">
        <v>18</v>
      </c>
      <c r="X58" s="7">
        <v>10</v>
      </c>
      <c r="Y58" s="7">
        <v>28</v>
      </c>
      <c r="Z58" s="7">
        <v>16.3</v>
      </c>
    </row>
    <row r="59" spans="1:26">
      <c r="A59" s="7" t="s">
        <v>62</v>
      </c>
      <c r="B59" s="7">
        <v>32</v>
      </c>
      <c r="C59" s="7">
        <v>29</v>
      </c>
      <c r="D59" s="7">
        <v>23</v>
      </c>
      <c r="E59" s="7">
        <v>14</v>
      </c>
      <c r="F59" s="7">
        <v>15</v>
      </c>
      <c r="G59" s="7">
        <v>11</v>
      </c>
      <c r="H59" s="7">
        <v>-19</v>
      </c>
      <c r="I59" s="7">
        <v>-2</v>
      </c>
      <c r="J59" s="7">
        <v>-12</v>
      </c>
      <c r="K59" s="7">
        <v>35</v>
      </c>
      <c r="L59" s="7">
        <v>-18</v>
      </c>
      <c r="M59" s="7">
        <v>-16</v>
      </c>
      <c r="N59" s="7">
        <v>21</v>
      </c>
      <c r="O59" s="7">
        <v>10</v>
      </c>
      <c r="P59" s="7">
        <v>1</v>
      </c>
      <c r="Q59" s="7">
        <v>6</v>
      </c>
      <c r="R59" s="7">
        <v>22</v>
      </c>
      <c r="S59" s="7">
        <v>17</v>
      </c>
      <c r="T59" s="7">
        <v>22</v>
      </c>
      <c r="U59" s="7">
        <v>20</v>
      </c>
      <c r="V59" s="7">
        <v>40</v>
      </c>
      <c r="W59" s="7">
        <v>32</v>
      </c>
      <c r="X59" s="7">
        <v>23</v>
      </c>
      <c r="Y59" s="7">
        <v>5</v>
      </c>
      <c r="Z59" s="7">
        <v>13</v>
      </c>
    </row>
    <row r="60" spans="1:26">
      <c r="A60" s="7" t="s">
        <v>63</v>
      </c>
      <c r="B60" s="7">
        <v>2</v>
      </c>
      <c r="C60" s="7">
        <v>20</v>
      </c>
      <c r="D60" s="7">
        <v>4</v>
      </c>
      <c r="E60" s="7">
        <v>22</v>
      </c>
      <c r="F60" s="7">
        <v>5</v>
      </c>
      <c r="G60" s="7">
        <v>-4</v>
      </c>
      <c r="H60" s="7">
        <v>4</v>
      </c>
      <c r="I60" s="7">
        <v>8</v>
      </c>
      <c r="J60" s="7">
        <v>0</v>
      </c>
      <c r="K60" s="7">
        <v>7</v>
      </c>
      <c r="L60" s="7">
        <v>14</v>
      </c>
      <c r="M60" s="7">
        <v>14</v>
      </c>
      <c r="N60" s="7">
        <v>7</v>
      </c>
      <c r="O60" s="7">
        <v>-18</v>
      </c>
      <c r="P60" s="7">
        <v>27</v>
      </c>
      <c r="Q60" s="7">
        <v>3</v>
      </c>
      <c r="R60" s="7">
        <v>6</v>
      </c>
      <c r="S60" s="7">
        <v>6</v>
      </c>
      <c r="T60" s="7">
        <v>14</v>
      </c>
      <c r="U60" s="7">
        <v>36</v>
      </c>
      <c r="V60" s="7">
        <v>30</v>
      </c>
      <c r="W60" s="7">
        <v>10</v>
      </c>
      <c r="X60" s="7">
        <v>-17</v>
      </c>
      <c r="Y60" s="7">
        <v>6</v>
      </c>
      <c r="Z60" s="7">
        <v>8.6</v>
      </c>
    </row>
    <row r="61" spans="1:26">
      <c r="A61" s="7" t="s">
        <v>64</v>
      </c>
      <c r="B61" s="7">
        <v>17</v>
      </c>
      <c r="C61" s="7">
        <v>11</v>
      </c>
      <c r="D61" s="7">
        <v>8</v>
      </c>
      <c r="E61" s="7">
        <v>15</v>
      </c>
      <c r="F61" s="7">
        <v>10</v>
      </c>
      <c r="G61" s="7">
        <v>19</v>
      </c>
      <c r="H61" s="7">
        <v>18</v>
      </c>
      <c r="I61" s="7">
        <v>4</v>
      </c>
      <c r="J61" s="7">
        <v>-18</v>
      </c>
      <c r="K61" s="7">
        <v>-16</v>
      </c>
      <c r="L61" s="7">
        <v>-19</v>
      </c>
      <c r="M61" s="7">
        <v>12</v>
      </c>
      <c r="N61" s="7">
        <v>14</v>
      </c>
      <c r="O61" s="7">
        <v>12</v>
      </c>
      <c r="P61" s="7">
        <v>27</v>
      </c>
      <c r="Q61" s="7">
        <v>15</v>
      </c>
      <c r="R61" s="7">
        <v>13</v>
      </c>
      <c r="S61" s="7">
        <v>6</v>
      </c>
      <c r="T61" s="7">
        <v>20</v>
      </c>
      <c r="U61" s="7">
        <v>13</v>
      </c>
      <c r="V61" s="7">
        <v>19</v>
      </c>
      <c r="W61" s="7">
        <v>-17</v>
      </c>
      <c r="X61" s="7">
        <v>5</v>
      </c>
      <c r="Y61" s="7">
        <v>10</v>
      </c>
      <c r="Z61" s="7">
        <v>8.3000000000000007</v>
      </c>
    </row>
    <row r="62" spans="1:26">
      <c r="A62" s="7" t="s">
        <v>65</v>
      </c>
      <c r="B62" s="6"/>
      <c r="C62" s="6"/>
      <c r="D62" s="7">
        <v>13</v>
      </c>
      <c r="E62" s="7">
        <v>9</v>
      </c>
      <c r="F62" s="7">
        <v>-17</v>
      </c>
      <c r="G62" s="7">
        <v>33</v>
      </c>
      <c r="H62" s="7">
        <v>9</v>
      </c>
      <c r="I62" s="7">
        <v>-5</v>
      </c>
      <c r="J62" s="7">
        <v>11</v>
      </c>
      <c r="K62" s="7">
        <v>12</v>
      </c>
      <c r="L62" s="7">
        <v>6</v>
      </c>
      <c r="M62" s="7">
        <v>0</v>
      </c>
      <c r="N62" s="7">
        <v>0</v>
      </c>
      <c r="O62" s="7">
        <v>3</v>
      </c>
      <c r="P62" s="7">
        <v>11</v>
      </c>
      <c r="Q62" s="7">
        <v>0</v>
      </c>
      <c r="R62" s="7">
        <v>15</v>
      </c>
      <c r="S62" s="7">
        <v>4</v>
      </c>
      <c r="T62" s="7">
        <v>37</v>
      </c>
      <c r="U62" s="7">
        <v>3</v>
      </c>
      <c r="V62" s="7">
        <v>11</v>
      </c>
      <c r="W62" s="7">
        <v>9</v>
      </c>
      <c r="X62" s="7">
        <v>12</v>
      </c>
      <c r="Y62" s="7">
        <v>1</v>
      </c>
      <c r="Z62" s="7">
        <v>8</v>
      </c>
    </row>
    <row r="63" spans="1:26">
      <c r="A63" s="7" t="s">
        <v>66</v>
      </c>
      <c r="B63" s="7">
        <v>8</v>
      </c>
      <c r="C63" s="7">
        <v>24</v>
      </c>
      <c r="D63" s="7">
        <v>1</v>
      </c>
      <c r="E63" s="7">
        <v>15</v>
      </c>
      <c r="F63" s="7">
        <v>6</v>
      </c>
      <c r="G63" s="7">
        <v>7</v>
      </c>
      <c r="H63" s="7">
        <v>-18</v>
      </c>
      <c r="I63" s="7">
        <v>10</v>
      </c>
      <c r="J63" s="7">
        <v>3</v>
      </c>
      <c r="K63" s="7">
        <v>10</v>
      </c>
      <c r="L63" s="7">
        <v>20</v>
      </c>
      <c r="M63" s="7">
        <v>4</v>
      </c>
      <c r="N63" s="7">
        <v>3</v>
      </c>
      <c r="O63" s="7">
        <v>6</v>
      </c>
      <c r="P63" s="7">
        <v>15</v>
      </c>
      <c r="Q63" s="7">
        <v>1</v>
      </c>
      <c r="R63" s="7">
        <v>6</v>
      </c>
      <c r="S63" s="7">
        <v>2</v>
      </c>
      <c r="T63" s="7">
        <v>-8</v>
      </c>
      <c r="U63" s="7">
        <v>9</v>
      </c>
      <c r="V63" s="7">
        <v>17</v>
      </c>
      <c r="W63" s="7">
        <v>9</v>
      </c>
      <c r="X63" s="7">
        <v>6</v>
      </c>
      <c r="Y63" s="7">
        <v>21</v>
      </c>
      <c r="Z63" s="7">
        <v>7.4</v>
      </c>
    </row>
    <row r="64" spans="1:26">
      <c r="A64" s="7" t="s">
        <v>67</v>
      </c>
      <c r="B64" s="7">
        <v>20</v>
      </c>
      <c r="C64" s="7">
        <v>2</v>
      </c>
      <c r="D64" s="7">
        <v>1</v>
      </c>
      <c r="E64" s="7">
        <v>-20</v>
      </c>
      <c r="F64" s="7">
        <v>3</v>
      </c>
      <c r="G64" s="7">
        <v>9</v>
      </c>
      <c r="H64" s="7">
        <v>9</v>
      </c>
      <c r="I64" s="7">
        <v>-2</v>
      </c>
      <c r="J64" s="7">
        <v>32</v>
      </c>
      <c r="K64" s="7">
        <v>15</v>
      </c>
      <c r="L64" s="7">
        <v>20</v>
      </c>
      <c r="M64" s="7">
        <v>45</v>
      </c>
      <c r="N64" s="7">
        <v>7</v>
      </c>
      <c r="O64" s="7">
        <v>14</v>
      </c>
      <c r="P64" s="7">
        <v>8</v>
      </c>
      <c r="Q64" s="7">
        <v>-20</v>
      </c>
      <c r="R64" s="7">
        <v>4</v>
      </c>
      <c r="S64" s="7">
        <v>-8</v>
      </c>
      <c r="T64" s="7">
        <v>2</v>
      </c>
      <c r="U64" s="7">
        <v>-16</v>
      </c>
      <c r="V64" s="7">
        <v>5</v>
      </c>
      <c r="W64" s="7">
        <v>11</v>
      </c>
      <c r="X64" s="7">
        <v>-18</v>
      </c>
      <c r="Y64" s="7">
        <v>24</v>
      </c>
      <c r="Z64" s="7">
        <v>6.1</v>
      </c>
    </row>
    <row r="65" spans="1:26">
      <c r="A65" s="7" t="s">
        <v>68</v>
      </c>
      <c r="B65" s="7">
        <v>16</v>
      </c>
      <c r="C65" s="7">
        <v>17</v>
      </c>
      <c r="D65" s="7">
        <v>2</v>
      </c>
      <c r="E65" s="7">
        <v>7</v>
      </c>
      <c r="F65" s="7">
        <v>1</v>
      </c>
      <c r="G65" s="7">
        <v>25</v>
      </c>
      <c r="H65" s="7">
        <v>-2</v>
      </c>
      <c r="I65" s="7">
        <v>5</v>
      </c>
      <c r="J65" s="7">
        <v>-20</v>
      </c>
      <c r="K65" s="7">
        <v>2</v>
      </c>
      <c r="L65" s="7">
        <v>9</v>
      </c>
      <c r="M65" s="7">
        <v>22</v>
      </c>
      <c r="N65" s="7">
        <v>9</v>
      </c>
      <c r="O65" s="7">
        <v>13</v>
      </c>
      <c r="P65" s="7">
        <v>21</v>
      </c>
      <c r="Q65" s="7">
        <v>-1</v>
      </c>
      <c r="R65" s="7">
        <v>-2</v>
      </c>
      <c r="S65" s="7">
        <v>10</v>
      </c>
      <c r="T65" s="7">
        <v>-3</v>
      </c>
      <c r="U65" s="7">
        <v>14</v>
      </c>
      <c r="V65" s="7">
        <v>-1</v>
      </c>
      <c r="W65" s="7">
        <v>-20</v>
      </c>
      <c r="X65" s="7">
        <v>2</v>
      </c>
      <c r="Y65" s="7">
        <v>20</v>
      </c>
      <c r="Z65" s="7">
        <v>6.1</v>
      </c>
    </row>
    <row r="66" spans="1:26">
      <c r="A66" s="7" t="s">
        <v>69</v>
      </c>
      <c r="B66" s="7">
        <v>-19</v>
      </c>
      <c r="C66" s="7">
        <v>8</v>
      </c>
      <c r="D66" s="7">
        <v>4</v>
      </c>
      <c r="E66" s="7">
        <v>-9</v>
      </c>
      <c r="F66" s="7">
        <v>12</v>
      </c>
      <c r="G66" s="7">
        <v>0</v>
      </c>
      <c r="H66" s="7">
        <v>12</v>
      </c>
      <c r="I66" s="7">
        <v>2</v>
      </c>
      <c r="J66" s="7">
        <v>7</v>
      </c>
      <c r="K66" s="7">
        <v>13</v>
      </c>
      <c r="L66" s="7">
        <v>-20</v>
      </c>
      <c r="M66" s="7">
        <v>-1</v>
      </c>
      <c r="N66" s="7">
        <v>6</v>
      </c>
      <c r="O66" s="7">
        <v>6</v>
      </c>
      <c r="P66" s="7">
        <v>1</v>
      </c>
      <c r="Q66" s="7">
        <v>3</v>
      </c>
      <c r="R66" s="7">
        <v>33</v>
      </c>
      <c r="S66" s="7">
        <v>8</v>
      </c>
      <c r="T66" s="7">
        <v>-3</v>
      </c>
      <c r="U66" s="7">
        <v>6</v>
      </c>
      <c r="V66" s="7">
        <v>15</v>
      </c>
      <c r="W66" s="7">
        <v>16</v>
      </c>
      <c r="X66" s="7">
        <v>27</v>
      </c>
      <c r="Y66" s="7">
        <v>3</v>
      </c>
      <c r="Z66" s="7">
        <v>5.4</v>
      </c>
    </row>
    <row r="67" spans="1:26">
      <c r="A67" s="7" t="s">
        <v>70</v>
      </c>
      <c r="B67" s="7">
        <v>-20</v>
      </c>
      <c r="C67" s="7">
        <v>11</v>
      </c>
      <c r="D67" s="7">
        <v>8</v>
      </c>
      <c r="E67" s="7">
        <v>5</v>
      </c>
      <c r="F67" s="7">
        <v>8</v>
      </c>
      <c r="G67" s="7">
        <v>0</v>
      </c>
      <c r="H67" s="7">
        <v>6</v>
      </c>
      <c r="I67" s="7">
        <v>12</v>
      </c>
      <c r="J67" s="7">
        <v>16</v>
      </c>
      <c r="K67" s="7">
        <v>1</v>
      </c>
      <c r="L67" s="7">
        <v>6</v>
      </c>
      <c r="M67" s="7">
        <v>-20</v>
      </c>
      <c r="N67" s="7">
        <v>-7</v>
      </c>
      <c r="O67" s="7">
        <v>4</v>
      </c>
      <c r="P67" s="7">
        <v>33</v>
      </c>
      <c r="Q67" s="7">
        <v>12</v>
      </c>
      <c r="R67" s="7">
        <v>4</v>
      </c>
      <c r="S67" s="7">
        <v>3</v>
      </c>
      <c r="T67" s="7">
        <v>3</v>
      </c>
      <c r="U67" s="7">
        <v>-2</v>
      </c>
      <c r="V67" s="7">
        <v>13</v>
      </c>
      <c r="W67" s="7">
        <v>16</v>
      </c>
      <c r="X67" s="7">
        <v>1</v>
      </c>
      <c r="Y67" s="7">
        <v>-2</v>
      </c>
      <c r="Z67" s="7">
        <v>4.5999999999999996</v>
      </c>
    </row>
    <row r="68" spans="1:26">
      <c r="A68" s="7" t="s">
        <v>65</v>
      </c>
      <c r="B68" s="7">
        <v>0</v>
      </c>
      <c r="C68" s="7">
        <v>6</v>
      </c>
      <c r="D68" s="6"/>
      <c r="E68" s="6"/>
      <c r="F68" s="6"/>
      <c r="G68" s="6"/>
      <c r="H68" s="6"/>
      <c r="I68" s="6"/>
      <c r="J68" s="6"/>
      <c r="K68" s="6"/>
      <c r="L68" s="6"/>
      <c r="M68" s="6"/>
      <c r="N68" s="6"/>
      <c r="O68" s="6"/>
      <c r="P68" s="6"/>
      <c r="Q68" s="6"/>
      <c r="R68" s="6"/>
      <c r="S68" s="6"/>
      <c r="T68" s="6"/>
      <c r="U68" s="6"/>
      <c r="V68" s="6"/>
      <c r="W68" s="6"/>
      <c r="X68" s="6"/>
      <c r="Y68" s="6"/>
      <c r="Z68" s="7">
        <v>3</v>
      </c>
    </row>
    <row r="69" spans="1:26">
      <c r="A69" s="7" t="s">
        <v>71</v>
      </c>
      <c r="B69" s="6"/>
      <c r="C69" s="6"/>
      <c r="D69" s="7">
        <v>-4</v>
      </c>
      <c r="E69" s="7">
        <v>11</v>
      </c>
      <c r="F69" s="7">
        <v>5</v>
      </c>
      <c r="G69" s="7">
        <v>-14</v>
      </c>
      <c r="H69" s="7">
        <v>3</v>
      </c>
      <c r="I69" s="7">
        <v>7</v>
      </c>
      <c r="J69" s="7">
        <v>9</v>
      </c>
      <c r="K69" s="7">
        <v>-20</v>
      </c>
      <c r="L69" s="7">
        <v>13</v>
      </c>
      <c r="M69" s="7">
        <v>-18</v>
      </c>
      <c r="N69" s="7">
        <v>9</v>
      </c>
      <c r="O69" s="7">
        <v>10</v>
      </c>
      <c r="P69" s="7">
        <v>0</v>
      </c>
      <c r="Q69" s="7">
        <v>6</v>
      </c>
      <c r="R69" s="7">
        <v>17</v>
      </c>
      <c r="S69" s="7">
        <v>3</v>
      </c>
      <c r="T69" s="7">
        <v>15</v>
      </c>
      <c r="U69" s="7">
        <v>-18</v>
      </c>
      <c r="V69" s="7">
        <v>14</v>
      </c>
      <c r="W69" s="7">
        <v>-1</v>
      </c>
      <c r="X69" s="7">
        <v>11</v>
      </c>
      <c r="Y69" s="7">
        <v>1</v>
      </c>
      <c r="Z69" s="7">
        <v>2.7</v>
      </c>
    </row>
    <row r="70" spans="1:26">
      <c r="A70" s="7" t="s">
        <v>71</v>
      </c>
      <c r="B70" s="7">
        <v>-17</v>
      </c>
      <c r="C70" s="7">
        <v>22</v>
      </c>
      <c r="D70" s="6"/>
      <c r="E70" s="6"/>
      <c r="F70" s="6"/>
      <c r="G70" s="6"/>
      <c r="H70" s="6"/>
      <c r="I70" s="6"/>
      <c r="J70" s="6"/>
      <c r="K70" s="6"/>
      <c r="L70" s="6"/>
      <c r="M70" s="6"/>
      <c r="N70" s="6"/>
      <c r="O70" s="6"/>
      <c r="P70" s="6"/>
      <c r="Q70" s="6"/>
      <c r="R70" s="6"/>
      <c r="S70" s="6"/>
      <c r="T70" s="6"/>
      <c r="U70" s="6"/>
      <c r="V70" s="6"/>
      <c r="W70" s="6"/>
      <c r="X70" s="6"/>
      <c r="Y70" s="6"/>
      <c r="Z70" s="7">
        <v>2.5</v>
      </c>
    </row>
    <row r="71" spans="1:26">
      <c r="A71" s="7" t="s">
        <v>72</v>
      </c>
      <c r="B71" s="7">
        <v>1</v>
      </c>
      <c r="C71" s="7">
        <v>-8</v>
      </c>
      <c r="D71" s="7">
        <v>0</v>
      </c>
      <c r="E71" s="7">
        <v>13</v>
      </c>
      <c r="F71" s="7">
        <v>-17</v>
      </c>
      <c r="G71" s="7">
        <v>18</v>
      </c>
      <c r="H71" s="7">
        <v>3</v>
      </c>
      <c r="I71" s="7">
        <v>-20</v>
      </c>
      <c r="J71" s="7">
        <v>10</v>
      </c>
      <c r="K71" s="7">
        <v>6</v>
      </c>
      <c r="L71" s="7">
        <v>2</v>
      </c>
      <c r="M71" s="7">
        <v>15</v>
      </c>
      <c r="N71" s="7">
        <v>-14</v>
      </c>
      <c r="O71" s="7">
        <v>0</v>
      </c>
      <c r="P71" s="7">
        <v>0</v>
      </c>
      <c r="Q71" s="7">
        <v>5</v>
      </c>
      <c r="R71" s="7">
        <v>5</v>
      </c>
      <c r="S71" s="7">
        <v>2</v>
      </c>
      <c r="T71" s="7">
        <v>3</v>
      </c>
      <c r="U71" s="7">
        <v>9</v>
      </c>
      <c r="V71" s="7">
        <v>21</v>
      </c>
      <c r="W71" s="7">
        <v>-2</v>
      </c>
      <c r="X71" s="7">
        <v>3</v>
      </c>
      <c r="Y71" s="7">
        <v>3</v>
      </c>
      <c r="Z71" s="7">
        <v>2.4</v>
      </c>
    </row>
    <row r="72" spans="1:26">
      <c r="A72" s="7" t="s">
        <v>73</v>
      </c>
      <c r="B72" s="7">
        <v>-20</v>
      </c>
      <c r="C72" s="7">
        <v>-16</v>
      </c>
      <c r="D72" s="7">
        <v>4</v>
      </c>
      <c r="E72" s="7">
        <v>5</v>
      </c>
      <c r="F72" s="7">
        <v>7</v>
      </c>
      <c r="G72" s="7">
        <v>-13</v>
      </c>
      <c r="H72" s="7">
        <v>4</v>
      </c>
      <c r="I72" s="7">
        <v>-16</v>
      </c>
      <c r="J72" s="7">
        <v>14</v>
      </c>
      <c r="K72" s="7">
        <v>22</v>
      </c>
      <c r="L72" s="7">
        <v>12</v>
      </c>
      <c r="M72" s="7">
        <v>4</v>
      </c>
      <c r="N72" s="7">
        <v>7</v>
      </c>
      <c r="O72" s="7">
        <v>17</v>
      </c>
      <c r="P72" s="7">
        <v>13</v>
      </c>
      <c r="Q72" s="7">
        <v>-15</v>
      </c>
      <c r="R72" s="7">
        <v>-3</v>
      </c>
      <c r="S72" s="7">
        <v>30</v>
      </c>
      <c r="T72" s="7">
        <v>-16</v>
      </c>
      <c r="U72" s="7">
        <v>-15</v>
      </c>
      <c r="V72" s="7">
        <v>2</v>
      </c>
      <c r="W72" s="7">
        <v>2</v>
      </c>
      <c r="X72" s="7">
        <v>12</v>
      </c>
      <c r="Y72" s="7">
        <v>17</v>
      </c>
      <c r="Z72" s="7">
        <v>2.4</v>
      </c>
    </row>
    <row r="73" spans="1:26">
      <c r="A73" s="7" t="s">
        <v>74</v>
      </c>
      <c r="B73" s="7">
        <v>-18</v>
      </c>
      <c r="C73" s="7">
        <v>7</v>
      </c>
      <c r="D73" s="7">
        <v>-2</v>
      </c>
      <c r="E73" s="7">
        <v>4</v>
      </c>
      <c r="F73" s="7">
        <v>3</v>
      </c>
      <c r="G73" s="7">
        <v>-11</v>
      </c>
      <c r="H73" s="7">
        <v>-2</v>
      </c>
      <c r="I73" s="7">
        <v>3</v>
      </c>
      <c r="J73" s="7">
        <v>4</v>
      </c>
      <c r="K73" s="7">
        <v>5</v>
      </c>
      <c r="L73" s="7">
        <v>25</v>
      </c>
      <c r="M73" s="7">
        <v>-20</v>
      </c>
      <c r="N73" s="7">
        <v>7</v>
      </c>
      <c r="O73" s="7">
        <v>24</v>
      </c>
      <c r="P73" s="7">
        <v>0</v>
      </c>
      <c r="Q73" s="7">
        <v>13</v>
      </c>
      <c r="R73" s="7">
        <v>7</v>
      </c>
      <c r="S73" s="7">
        <v>-1</v>
      </c>
      <c r="T73" s="7">
        <v>17</v>
      </c>
      <c r="U73" s="7">
        <v>12</v>
      </c>
      <c r="V73" s="7">
        <v>-24</v>
      </c>
      <c r="W73" s="7">
        <v>-20</v>
      </c>
      <c r="X73" s="7">
        <v>14</v>
      </c>
      <c r="Y73" s="7">
        <v>6</v>
      </c>
      <c r="Z73" s="7">
        <v>2.2000000000000002</v>
      </c>
    </row>
    <row r="74" spans="1:26">
      <c r="A74" s="7" t="s">
        <v>75</v>
      </c>
      <c r="B74" s="6"/>
      <c r="C74" s="6"/>
      <c r="D74" s="6"/>
      <c r="E74" s="6"/>
      <c r="F74" s="6"/>
      <c r="G74" s="6"/>
      <c r="H74" s="7">
        <v>0</v>
      </c>
      <c r="I74" s="7">
        <v>5</v>
      </c>
      <c r="J74" s="7">
        <v>6</v>
      </c>
      <c r="K74" s="7">
        <v>2</v>
      </c>
      <c r="L74" s="7">
        <v>5</v>
      </c>
      <c r="M74" s="7">
        <v>-20</v>
      </c>
      <c r="N74" s="7">
        <v>-2</v>
      </c>
      <c r="O74" s="7">
        <v>-4</v>
      </c>
      <c r="P74" s="7">
        <v>11</v>
      </c>
      <c r="Q74" s="7">
        <v>0</v>
      </c>
      <c r="R74" s="7">
        <v>1</v>
      </c>
      <c r="S74" s="7">
        <v>3</v>
      </c>
      <c r="T74" s="7">
        <v>7</v>
      </c>
      <c r="U74" s="7">
        <v>4</v>
      </c>
      <c r="V74" s="7">
        <v>-16</v>
      </c>
      <c r="W74" s="7">
        <v>0</v>
      </c>
      <c r="X74" s="7">
        <v>6</v>
      </c>
      <c r="Y74" s="7">
        <v>0</v>
      </c>
      <c r="Z74" s="7">
        <v>0.4</v>
      </c>
    </row>
    <row r="75" spans="1:26">
      <c r="A75" s="7" t="s">
        <v>76</v>
      </c>
      <c r="B75" s="7">
        <v>-20</v>
      </c>
      <c r="C75" s="7">
        <v>11</v>
      </c>
      <c r="D75" s="7">
        <v>6</v>
      </c>
      <c r="E75" s="7">
        <v>2</v>
      </c>
      <c r="F75" s="7">
        <v>1</v>
      </c>
      <c r="G75" s="7">
        <v>-14</v>
      </c>
      <c r="H75" s="6"/>
      <c r="I75" s="6"/>
      <c r="J75" s="6"/>
      <c r="K75" s="6"/>
      <c r="L75" s="6"/>
      <c r="M75" s="6"/>
      <c r="N75" s="6"/>
      <c r="O75" s="6"/>
      <c r="P75" s="6"/>
      <c r="Q75" s="6"/>
      <c r="R75" s="6"/>
      <c r="S75" s="6"/>
      <c r="T75" s="6"/>
      <c r="U75" s="6"/>
      <c r="V75" s="6"/>
      <c r="W75" s="6"/>
      <c r="X75" s="6"/>
      <c r="Y75" s="6"/>
      <c r="Z75" s="7">
        <v>-2.2999999999999998</v>
      </c>
    </row>
    <row r="76" spans="1:26">
      <c r="A76" s="7" t="s">
        <v>55</v>
      </c>
      <c r="B76" s="7">
        <v>6</v>
      </c>
      <c r="C76" s="7">
        <v>14.1</v>
      </c>
      <c r="D76" s="7">
        <v>10.199999999999999</v>
      </c>
      <c r="E76" s="7">
        <v>14.1</v>
      </c>
      <c r="F76" s="7">
        <v>10.4</v>
      </c>
      <c r="G76" s="7">
        <v>12.3</v>
      </c>
      <c r="H76" s="7">
        <v>10.5</v>
      </c>
      <c r="I76" s="7">
        <v>7.8</v>
      </c>
      <c r="J76" s="7">
        <v>10.7</v>
      </c>
      <c r="K76" s="7">
        <v>11.1</v>
      </c>
      <c r="L76" s="7">
        <v>10.199999999999999</v>
      </c>
      <c r="M76" s="7">
        <v>7.5</v>
      </c>
      <c r="N76" s="7">
        <v>13.3</v>
      </c>
      <c r="O76" s="7">
        <v>11.7</v>
      </c>
      <c r="P76" s="7">
        <v>11.3</v>
      </c>
      <c r="Q76" s="7">
        <v>10.1</v>
      </c>
      <c r="R76" s="7">
        <v>10.8</v>
      </c>
      <c r="S76" s="7">
        <v>11.2</v>
      </c>
      <c r="T76" s="7">
        <v>13.4</v>
      </c>
      <c r="U76" s="7">
        <v>11.4</v>
      </c>
      <c r="V76" s="7">
        <v>13.8</v>
      </c>
      <c r="W76" s="7">
        <v>7.4</v>
      </c>
      <c r="X76" s="7">
        <v>12.5</v>
      </c>
      <c r="Y76" s="7">
        <v>15.1</v>
      </c>
      <c r="Z76" s="6"/>
    </row>
    <row r="77" spans="1:26">
      <c r="A77" s="1" t="s">
        <v>77</v>
      </c>
    </row>
    <row r="78" spans="1:26">
      <c r="A78" s="1" t="s">
        <v>29</v>
      </c>
    </row>
    <row r="79" spans="1:26">
      <c r="A79" s="1" t="s">
        <v>23</v>
      </c>
    </row>
    <row r="80" spans="1:26">
      <c r="A80" s="1" t="s">
        <v>24</v>
      </c>
    </row>
    <row r="81" spans="1:26">
      <c r="A81" s="1" t="s">
        <v>25</v>
      </c>
    </row>
    <row r="82" spans="1:26" ht="59" customHeight="1">
      <c r="A82" s="151" t="s">
        <v>78</v>
      </c>
      <c r="B82" s="5" t="s">
        <v>31</v>
      </c>
      <c r="C82" s="5" t="s">
        <v>32</v>
      </c>
      <c r="D82" s="5" t="s">
        <v>33</v>
      </c>
      <c r="E82" s="5" t="s">
        <v>34</v>
      </c>
      <c r="F82" s="5" t="s">
        <v>35</v>
      </c>
      <c r="G82" s="5" t="s">
        <v>36</v>
      </c>
      <c r="H82" s="5" t="s">
        <v>37</v>
      </c>
      <c r="I82" s="5" t="s">
        <v>38</v>
      </c>
      <c r="J82" s="5" t="s">
        <v>39</v>
      </c>
      <c r="K82" s="5" t="s">
        <v>40</v>
      </c>
      <c r="L82" s="5" t="s">
        <v>41</v>
      </c>
      <c r="M82" s="5" t="s">
        <v>42</v>
      </c>
      <c r="N82" s="5" t="s">
        <v>43</v>
      </c>
      <c r="O82" s="5" t="s">
        <v>44</v>
      </c>
      <c r="P82" s="5" t="s">
        <v>45</v>
      </c>
      <c r="Q82" s="5" t="s">
        <v>46</v>
      </c>
      <c r="R82" s="5" t="s">
        <v>47</v>
      </c>
      <c r="S82" s="5" t="s">
        <v>48</v>
      </c>
      <c r="T82" s="5" t="s">
        <v>49</v>
      </c>
      <c r="U82" s="5" t="s">
        <v>50</v>
      </c>
      <c r="V82" s="5" t="s">
        <v>51</v>
      </c>
      <c r="W82" s="5" t="s">
        <v>52</v>
      </c>
      <c r="X82" s="5" t="s">
        <v>53</v>
      </c>
      <c r="Y82" s="5" t="s">
        <v>54</v>
      </c>
      <c r="Z82" s="151" t="s">
        <v>55</v>
      </c>
    </row>
    <row r="83" spans="1:26">
      <c r="A83" s="151"/>
      <c r="B83" s="5"/>
      <c r="C83" s="5"/>
      <c r="D83" s="5"/>
      <c r="E83" s="5"/>
      <c r="F83" s="5"/>
      <c r="G83" s="5"/>
      <c r="H83" s="5"/>
      <c r="I83" s="5"/>
      <c r="J83" s="5"/>
      <c r="K83" s="5"/>
      <c r="L83" s="5"/>
      <c r="M83" s="5"/>
      <c r="N83" s="5"/>
      <c r="O83" s="5"/>
      <c r="P83" s="5"/>
      <c r="Q83" s="5"/>
      <c r="R83" s="5"/>
      <c r="S83" s="5"/>
      <c r="T83" s="5"/>
      <c r="U83" s="5"/>
      <c r="V83" s="5"/>
      <c r="W83" s="5"/>
      <c r="X83" s="5"/>
      <c r="Y83" s="5"/>
      <c r="Z83" s="151"/>
    </row>
    <row r="84" spans="1:26">
      <c r="A84" s="151"/>
      <c r="B84" s="5" t="s">
        <v>31</v>
      </c>
      <c r="C84" s="5" t="s">
        <v>32</v>
      </c>
      <c r="D84" s="5" t="s">
        <v>33</v>
      </c>
      <c r="E84" s="5" t="s">
        <v>34</v>
      </c>
      <c r="F84" s="5" t="s">
        <v>35</v>
      </c>
      <c r="G84" s="5" t="s">
        <v>36</v>
      </c>
      <c r="H84" s="5" t="s">
        <v>37</v>
      </c>
      <c r="I84" s="5" t="s">
        <v>38</v>
      </c>
      <c r="J84" s="5" t="s">
        <v>39</v>
      </c>
      <c r="K84" s="5" t="s">
        <v>40</v>
      </c>
      <c r="L84" s="5" t="s">
        <v>41</v>
      </c>
      <c r="M84" s="5" t="s">
        <v>42</v>
      </c>
      <c r="N84" s="5" t="s">
        <v>43</v>
      </c>
      <c r="O84" s="5" t="s">
        <v>44</v>
      </c>
      <c r="P84" s="5" t="s">
        <v>45</v>
      </c>
      <c r="Q84" s="5" t="s">
        <v>46</v>
      </c>
      <c r="R84" s="5" t="s">
        <v>47</v>
      </c>
      <c r="S84" s="5" t="s">
        <v>48</v>
      </c>
      <c r="T84" s="5" t="s">
        <v>49</v>
      </c>
      <c r="U84" s="5" t="s">
        <v>50</v>
      </c>
      <c r="V84" s="5" t="s">
        <v>51</v>
      </c>
      <c r="W84" s="5" t="s">
        <v>52</v>
      </c>
      <c r="X84" s="5" t="s">
        <v>53</v>
      </c>
      <c r="Y84" s="5" t="s">
        <v>54</v>
      </c>
      <c r="Z84" s="151"/>
    </row>
    <row r="85" spans="1:26">
      <c r="A85" s="151"/>
      <c r="B85" s="5"/>
      <c r="C85" s="5"/>
      <c r="D85" s="5"/>
      <c r="E85" s="5"/>
      <c r="F85" s="5"/>
      <c r="G85" s="5"/>
      <c r="H85" s="5"/>
      <c r="I85" s="5"/>
      <c r="J85" s="5"/>
      <c r="K85" s="5"/>
      <c r="L85" s="5"/>
      <c r="M85" s="5"/>
      <c r="N85" s="5"/>
      <c r="O85" s="5"/>
      <c r="P85" s="5"/>
      <c r="Q85" s="5"/>
      <c r="R85" s="5"/>
      <c r="S85" s="5"/>
      <c r="T85" s="5"/>
      <c r="U85" s="5"/>
      <c r="V85" s="5"/>
      <c r="W85" s="5"/>
      <c r="X85" s="5"/>
      <c r="Y85" s="5"/>
      <c r="Z85" s="151"/>
    </row>
    <row r="86" spans="1:26">
      <c r="A86" s="7" t="s">
        <v>79</v>
      </c>
      <c r="B86" s="11">
        <v>71</v>
      </c>
      <c r="C86" s="61">
        <v>101</v>
      </c>
      <c r="D86" s="11">
        <v>71</v>
      </c>
      <c r="E86" s="29">
        <v>92</v>
      </c>
      <c r="F86" s="62">
        <v>86</v>
      </c>
      <c r="G86" s="19">
        <v>118</v>
      </c>
      <c r="H86" s="63">
        <v>82</v>
      </c>
      <c r="I86" s="64">
        <v>83</v>
      </c>
      <c r="J86" s="39">
        <v>88</v>
      </c>
      <c r="K86" s="15">
        <v>40</v>
      </c>
      <c r="L86" s="65">
        <v>100</v>
      </c>
      <c r="M86" s="18">
        <v>90</v>
      </c>
      <c r="N86" s="66">
        <v>93</v>
      </c>
      <c r="O86" s="65">
        <v>100</v>
      </c>
      <c r="P86" s="23">
        <v>52</v>
      </c>
      <c r="Q86" s="67">
        <v>97</v>
      </c>
      <c r="R86" s="38">
        <v>6</v>
      </c>
      <c r="S86" s="68">
        <v>64</v>
      </c>
      <c r="T86" s="59">
        <v>22</v>
      </c>
      <c r="U86" s="62">
        <v>86</v>
      </c>
      <c r="V86" s="69">
        <v>63</v>
      </c>
      <c r="W86" s="70">
        <v>-34</v>
      </c>
      <c r="X86" s="67">
        <v>96</v>
      </c>
      <c r="Y86" s="21">
        <v>77</v>
      </c>
      <c r="Z86" s="26">
        <v>72.7</v>
      </c>
    </row>
    <row r="87" spans="1:26">
      <c r="A87" s="7" t="s">
        <v>80</v>
      </c>
      <c r="B87" s="31">
        <v>19</v>
      </c>
      <c r="C87" s="9">
        <v>67</v>
      </c>
      <c r="D87" s="71">
        <v>46</v>
      </c>
      <c r="E87" s="71">
        <v>46</v>
      </c>
      <c r="F87" s="59">
        <v>21</v>
      </c>
      <c r="G87" s="20">
        <v>60</v>
      </c>
      <c r="H87" s="11">
        <v>71</v>
      </c>
      <c r="I87" s="12">
        <v>23</v>
      </c>
      <c r="J87" s="37">
        <v>28</v>
      </c>
      <c r="K87" s="17">
        <v>51</v>
      </c>
      <c r="L87" s="57">
        <v>1</v>
      </c>
      <c r="M87" s="10">
        <v>41</v>
      </c>
      <c r="N87" s="72">
        <v>55</v>
      </c>
      <c r="O87" s="73">
        <v>39</v>
      </c>
      <c r="P87" s="27">
        <v>47</v>
      </c>
      <c r="Q87" s="30">
        <v>56</v>
      </c>
      <c r="R87" s="74">
        <v>85</v>
      </c>
      <c r="S87" s="17">
        <v>51</v>
      </c>
      <c r="T87" s="29">
        <v>92</v>
      </c>
      <c r="U87" s="75">
        <v>36</v>
      </c>
      <c r="V87" s="39">
        <v>88</v>
      </c>
      <c r="W87" s="74">
        <v>85</v>
      </c>
      <c r="X87" s="9">
        <v>67</v>
      </c>
      <c r="Y87" s="23">
        <v>52</v>
      </c>
      <c r="Z87" s="17">
        <v>51.1</v>
      </c>
    </row>
    <row r="88" spans="1:26">
      <c r="A88" s="7" t="s">
        <v>81</v>
      </c>
      <c r="B88" s="9">
        <v>67</v>
      </c>
      <c r="C88" s="25">
        <v>69</v>
      </c>
      <c r="D88" s="30">
        <v>56</v>
      </c>
      <c r="E88" s="20">
        <v>60</v>
      </c>
      <c r="F88" s="71">
        <v>46</v>
      </c>
      <c r="G88" s="17">
        <v>51</v>
      </c>
      <c r="H88" s="38">
        <v>6</v>
      </c>
      <c r="I88" s="45">
        <v>9</v>
      </c>
      <c r="J88" s="60">
        <v>24</v>
      </c>
      <c r="K88" s="76">
        <v>87</v>
      </c>
      <c r="L88" s="31">
        <v>19</v>
      </c>
      <c r="M88" s="77">
        <v>7</v>
      </c>
      <c r="N88" s="35">
        <v>50</v>
      </c>
      <c r="O88" s="8">
        <v>54</v>
      </c>
      <c r="P88" s="36">
        <v>30</v>
      </c>
      <c r="Q88" s="78">
        <v>37</v>
      </c>
      <c r="R88" s="9">
        <v>67</v>
      </c>
      <c r="S88" s="9">
        <v>67</v>
      </c>
      <c r="T88" s="79">
        <v>61</v>
      </c>
      <c r="U88" s="22">
        <v>58</v>
      </c>
      <c r="V88" s="80">
        <v>91</v>
      </c>
      <c r="W88" s="21">
        <v>77</v>
      </c>
      <c r="X88" s="81">
        <v>57</v>
      </c>
      <c r="Y88" s="34">
        <v>35</v>
      </c>
      <c r="Z88" s="35">
        <v>49.4</v>
      </c>
    </row>
    <row r="89" spans="1:26">
      <c r="A89" s="7" t="s">
        <v>82</v>
      </c>
      <c r="B89" s="75">
        <v>36</v>
      </c>
      <c r="C89" s="82">
        <v>-23</v>
      </c>
      <c r="D89" s="30">
        <v>56</v>
      </c>
      <c r="E89" s="26">
        <v>73</v>
      </c>
      <c r="F89" s="68">
        <v>64</v>
      </c>
      <c r="G89" s="13">
        <v>34</v>
      </c>
      <c r="H89" s="9">
        <v>67</v>
      </c>
      <c r="I89" s="11">
        <v>71</v>
      </c>
      <c r="J89" s="79">
        <v>61</v>
      </c>
      <c r="K89" s="81">
        <v>57</v>
      </c>
      <c r="L89" s="9">
        <v>67</v>
      </c>
      <c r="M89" s="10">
        <v>41</v>
      </c>
      <c r="N89" s="83">
        <v>70</v>
      </c>
      <c r="O89" s="73">
        <v>39</v>
      </c>
      <c r="P89" s="84">
        <v>-4</v>
      </c>
      <c r="Q89" s="9">
        <v>67</v>
      </c>
      <c r="R89" s="37">
        <v>28</v>
      </c>
      <c r="S89" s="85">
        <v>48</v>
      </c>
      <c r="T89" s="74">
        <v>85</v>
      </c>
      <c r="U89" s="22">
        <v>58</v>
      </c>
      <c r="V89" s="24">
        <v>-3</v>
      </c>
      <c r="W89" s="85">
        <v>48</v>
      </c>
      <c r="X89" s="59">
        <v>22</v>
      </c>
      <c r="Y89" s="64">
        <v>83</v>
      </c>
      <c r="Z89" s="85">
        <v>47.7</v>
      </c>
    </row>
    <row r="90" spans="1:26">
      <c r="A90" s="7" t="s">
        <v>83</v>
      </c>
      <c r="B90" s="54">
        <v>10</v>
      </c>
      <c r="C90" s="47">
        <v>26</v>
      </c>
      <c r="D90" s="31">
        <v>19</v>
      </c>
      <c r="E90" s="86">
        <v>13</v>
      </c>
      <c r="F90" s="87">
        <v>27</v>
      </c>
      <c r="G90" s="48">
        <v>31</v>
      </c>
      <c r="H90" s="88">
        <v>42</v>
      </c>
      <c r="I90" s="53">
        <v>16</v>
      </c>
      <c r="J90" s="89">
        <v>-8</v>
      </c>
      <c r="K90" s="55">
        <v>4</v>
      </c>
      <c r="L90" s="56">
        <v>-36</v>
      </c>
      <c r="M90" s="53">
        <v>16</v>
      </c>
      <c r="N90" s="87">
        <v>27</v>
      </c>
      <c r="O90" s="60">
        <v>24</v>
      </c>
      <c r="P90" s="34">
        <v>35</v>
      </c>
      <c r="Q90" s="12">
        <v>23</v>
      </c>
      <c r="R90" s="71">
        <v>46</v>
      </c>
      <c r="S90" s="55">
        <v>5</v>
      </c>
      <c r="T90" s="87">
        <v>27</v>
      </c>
      <c r="U90" s="36">
        <v>29</v>
      </c>
      <c r="V90" s="88">
        <v>42</v>
      </c>
      <c r="W90" s="45">
        <v>9</v>
      </c>
      <c r="X90" s="73">
        <v>39</v>
      </c>
      <c r="Y90" s="60">
        <v>24</v>
      </c>
      <c r="Z90" s="16">
        <v>20.399999999999999</v>
      </c>
    </row>
    <row r="91" spans="1:26">
      <c r="A91" s="7" t="s">
        <v>84</v>
      </c>
      <c r="B91" s="52">
        <v>14</v>
      </c>
      <c r="C91" s="27">
        <v>47</v>
      </c>
      <c r="D91" s="54">
        <v>10</v>
      </c>
      <c r="E91" s="15">
        <v>40</v>
      </c>
      <c r="F91" s="90">
        <v>12</v>
      </c>
      <c r="G91" s="46">
        <v>8</v>
      </c>
      <c r="H91" s="91">
        <v>-13</v>
      </c>
      <c r="I91" s="58">
        <v>25</v>
      </c>
      <c r="J91" s="38">
        <v>6</v>
      </c>
      <c r="K91" s="59">
        <v>22</v>
      </c>
      <c r="L91" s="78">
        <v>37</v>
      </c>
      <c r="M91" s="58">
        <v>25</v>
      </c>
      <c r="N91" s="40">
        <v>15</v>
      </c>
      <c r="O91" s="92">
        <v>-9</v>
      </c>
      <c r="P91" s="33">
        <v>43</v>
      </c>
      <c r="Q91" s="77">
        <v>7</v>
      </c>
      <c r="R91" s="86">
        <v>13</v>
      </c>
      <c r="S91" s="40">
        <v>15</v>
      </c>
      <c r="T91" s="86">
        <v>13</v>
      </c>
      <c r="U91" s="32">
        <v>45</v>
      </c>
      <c r="V91" s="8">
        <v>54</v>
      </c>
      <c r="W91" s="60">
        <v>24</v>
      </c>
      <c r="X91" s="93">
        <v>-5</v>
      </c>
      <c r="Y91" s="13">
        <v>34</v>
      </c>
      <c r="Z91" s="16">
        <v>20.100000000000001</v>
      </c>
    </row>
    <row r="92" spans="1:26">
      <c r="A92" s="7" t="s">
        <v>85</v>
      </c>
      <c r="B92" s="94">
        <v>-10</v>
      </c>
      <c r="C92" s="88">
        <v>42</v>
      </c>
      <c r="D92" s="52">
        <v>14</v>
      </c>
      <c r="E92" s="59">
        <v>22</v>
      </c>
      <c r="F92" s="95">
        <v>18</v>
      </c>
      <c r="G92" s="50">
        <v>-6</v>
      </c>
      <c r="H92" s="60">
        <v>24</v>
      </c>
      <c r="I92" s="48">
        <v>31</v>
      </c>
      <c r="J92" s="34">
        <v>35</v>
      </c>
      <c r="K92" s="84">
        <v>-4</v>
      </c>
      <c r="L92" s="13">
        <v>34</v>
      </c>
      <c r="M92" s="96">
        <v>-35</v>
      </c>
      <c r="N92" s="28">
        <v>17</v>
      </c>
      <c r="O92" s="36">
        <v>29</v>
      </c>
      <c r="P92" s="41">
        <v>38</v>
      </c>
      <c r="Q92" s="87">
        <v>27</v>
      </c>
      <c r="R92" s="10">
        <v>41</v>
      </c>
      <c r="S92" s="53">
        <v>16</v>
      </c>
      <c r="T92" s="13">
        <v>34</v>
      </c>
      <c r="U92" s="94">
        <v>-10</v>
      </c>
      <c r="V92" s="27">
        <v>47</v>
      </c>
      <c r="W92" s="36">
        <v>30</v>
      </c>
      <c r="X92" s="59">
        <v>22</v>
      </c>
      <c r="Y92" s="38">
        <v>6</v>
      </c>
      <c r="Z92" s="31">
        <v>19.3</v>
      </c>
    </row>
    <row r="93" spans="1:26">
      <c r="A93" s="7" t="s">
        <v>86</v>
      </c>
      <c r="B93" s="57">
        <v>1</v>
      </c>
      <c r="C93" s="55">
        <v>4</v>
      </c>
      <c r="D93" s="45">
        <v>9</v>
      </c>
      <c r="E93" s="95">
        <v>18</v>
      </c>
      <c r="F93" s="44">
        <v>11</v>
      </c>
      <c r="G93" s="86">
        <v>13</v>
      </c>
      <c r="H93" s="52">
        <v>14</v>
      </c>
      <c r="I93" s="84">
        <v>-4</v>
      </c>
      <c r="J93" s="57">
        <v>1</v>
      </c>
      <c r="K93" s="48">
        <v>31</v>
      </c>
      <c r="L93" s="60">
        <v>24</v>
      </c>
      <c r="M93" s="97">
        <v>33</v>
      </c>
      <c r="N93" s="16">
        <v>20</v>
      </c>
      <c r="O93" s="32">
        <v>45</v>
      </c>
      <c r="P93" s="10">
        <v>41</v>
      </c>
      <c r="Q93" s="98">
        <v>-11</v>
      </c>
      <c r="R93" s="99">
        <v>-2</v>
      </c>
      <c r="S93" s="78">
        <v>37</v>
      </c>
      <c r="T93" s="42">
        <v>-12</v>
      </c>
      <c r="U93" s="49">
        <v>2</v>
      </c>
      <c r="V93" s="45">
        <v>9</v>
      </c>
      <c r="W93" s="89">
        <v>-8</v>
      </c>
      <c r="X93" s="59">
        <v>21</v>
      </c>
      <c r="Y93" s="27">
        <v>47</v>
      </c>
      <c r="Z93" s="40">
        <v>14.3</v>
      </c>
    </row>
    <row r="94" spans="1:26">
      <c r="A94" s="7" t="s">
        <v>87</v>
      </c>
      <c r="B94" s="43">
        <v>3</v>
      </c>
      <c r="C94" s="90">
        <v>12</v>
      </c>
      <c r="D94" s="51">
        <v>0</v>
      </c>
      <c r="E94" s="100">
        <v>-22</v>
      </c>
      <c r="F94" s="54">
        <v>10</v>
      </c>
      <c r="G94" s="45">
        <v>9</v>
      </c>
      <c r="H94" s="86">
        <v>13</v>
      </c>
      <c r="I94" s="77">
        <v>7</v>
      </c>
      <c r="J94" s="23">
        <v>52</v>
      </c>
      <c r="K94" s="47">
        <v>26</v>
      </c>
      <c r="L94" s="32">
        <v>45</v>
      </c>
      <c r="M94" s="52">
        <v>14</v>
      </c>
      <c r="N94" s="60">
        <v>24</v>
      </c>
      <c r="O94" s="34">
        <v>35</v>
      </c>
      <c r="P94" s="52">
        <v>14</v>
      </c>
      <c r="Q94" s="99">
        <v>-2</v>
      </c>
      <c r="R94" s="28">
        <v>17</v>
      </c>
      <c r="S94" s="84">
        <v>-4</v>
      </c>
      <c r="T94" s="58">
        <v>25</v>
      </c>
      <c r="U94" s="49">
        <v>2</v>
      </c>
      <c r="V94" s="92">
        <v>-9</v>
      </c>
      <c r="W94" s="89">
        <v>-8</v>
      </c>
      <c r="X94" s="55">
        <v>4</v>
      </c>
      <c r="Y94" s="15">
        <v>40</v>
      </c>
      <c r="Z94" s="86">
        <v>12.8</v>
      </c>
    </row>
    <row r="95" spans="1:26">
      <c r="A95" s="7" t="s">
        <v>88</v>
      </c>
      <c r="B95" s="101">
        <v>-14</v>
      </c>
      <c r="C95" s="50">
        <v>-6</v>
      </c>
      <c r="D95" s="45">
        <v>9</v>
      </c>
      <c r="E95" s="59">
        <v>22</v>
      </c>
      <c r="F95" s="50">
        <v>-6</v>
      </c>
      <c r="G95" s="54">
        <v>10</v>
      </c>
      <c r="H95" s="54">
        <v>10</v>
      </c>
      <c r="I95" s="98">
        <v>-11</v>
      </c>
      <c r="J95" s="48">
        <v>31</v>
      </c>
      <c r="K95" s="44">
        <v>11</v>
      </c>
      <c r="L95" s="28">
        <v>17</v>
      </c>
      <c r="M95" s="55">
        <v>5</v>
      </c>
      <c r="N95" s="91">
        <v>-13</v>
      </c>
      <c r="O95" s="49">
        <v>2</v>
      </c>
      <c r="P95" s="52">
        <v>14</v>
      </c>
      <c r="Q95" s="38">
        <v>6</v>
      </c>
      <c r="R95" s="77">
        <v>7</v>
      </c>
      <c r="S95" s="38">
        <v>6</v>
      </c>
      <c r="T95" s="95">
        <v>18</v>
      </c>
      <c r="U95" s="52">
        <v>14</v>
      </c>
      <c r="V95" s="90">
        <v>12</v>
      </c>
      <c r="W95" s="43">
        <v>3</v>
      </c>
      <c r="X95" s="52">
        <v>14</v>
      </c>
      <c r="Y95" s="55">
        <v>4</v>
      </c>
      <c r="Z95" s="77">
        <v>6.9</v>
      </c>
    </row>
    <row r="96" spans="1:26">
      <c r="A96" s="7" t="s">
        <v>55</v>
      </c>
      <c r="B96" s="102">
        <v>19.7</v>
      </c>
      <c r="C96" s="13">
        <v>33.9</v>
      </c>
      <c r="D96" s="36">
        <v>29</v>
      </c>
      <c r="E96" s="75">
        <v>36.4</v>
      </c>
      <c r="F96" s="103">
        <v>28.9</v>
      </c>
      <c r="G96" s="97">
        <v>32.799999999999997</v>
      </c>
      <c r="H96" s="14">
        <v>31.6</v>
      </c>
      <c r="I96" s="58">
        <v>25</v>
      </c>
      <c r="J96" s="14">
        <v>31.8</v>
      </c>
      <c r="K96" s="104">
        <v>32.5</v>
      </c>
      <c r="L96" s="48">
        <v>30.8</v>
      </c>
      <c r="M96" s="60">
        <v>23.7</v>
      </c>
      <c r="N96" s="75">
        <v>35.799999999999997</v>
      </c>
      <c r="O96" s="75">
        <v>35.799999999999997</v>
      </c>
      <c r="P96" s="48">
        <v>31</v>
      </c>
      <c r="Q96" s="48">
        <v>30.7</v>
      </c>
      <c r="R96" s="48">
        <v>30.8</v>
      </c>
      <c r="S96" s="48">
        <v>30.5</v>
      </c>
      <c r="T96" s="75">
        <v>36.5</v>
      </c>
      <c r="U96" s="105">
        <v>32</v>
      </c>
      <c r="V96" s="15">
        <v>39.4</v>
      </c>
      <c r="W96" s="12">
        <v>22.6</v>
      </c>
      <c r="X96" s="13">
        <v>33.700000000000003</v>
      </c>
      <c r="Y96" s="15">
        <v>40.200000000000003</v>
      </c>
      <c r="Z96" s="6"/>
    </row>
    <row r="98" spans="1:26" ht="23">
      <c r="A98" s="4" t="s">
        <v>89</v>
      </c>
    </row>
    <row r="100" spans="1:26" ht="18">
      <c r="A100" s="106" t="s">
        <v>90</v>
      </c>
    </row>
    <row r="102" spans="1:26">
      <c r="A102" s="1" t="s">
        <v>91</v>
      </c>
    </row>
    <row r="104" spans="1:26" ht="18">
      <c r="A104" s="106" t="s">
        <v>92</v>
      </c>
    </row>
    <row r="106" spans="1:26">
      <c r="A106" s="1" t="s">
        <v>93</v>
      </c>
    </row>
    <row r="108" spans="1:26" ht="18">
      <c r="A108" s="106" t="s">
        <v>94</v>
      </c>
    </row>
    <row r="110" spans="1:26">
      <c r="A110" s="1" t="s">
        <v>95</v>
      </c>
    </row>
    <row r="111" spans="1:26">
      <c r="A111" s="2" t="s">
        <v>96</v>
      </c>
    </row>
    <row r="112" spans="1:26" ht="16" customHeight="1">
      <c r="A112" s="149" t="s">
        <v>97</v>
      </c>
      <c r="B112" s="150"/>
      <c r="C112" s="150"/>
      <c r="D112" s="150"/>
      <c r="E112" s="150"/>
      <c r="F112" s="150"/>
      <c r="G112" s="150"/>
      <c r="H112" s="150"/>
      <c r="I112" s="150"/>
      <c r="J112" s="150"/>
      <c r="K112" s="150"/>
      <c r="L112" s="150"/>
      <c r="M112" s="150"/>
      <c r="N112" s="150"/>
      <c r="O112" s="150"/>
      <c r="P112" s="150"/>
      <c r="Q112" s="150"/>
      <c r="R112" s="150"/>
      <c r="S112" s="150"/>
      <c r="T112" s="150"/>
      <c r="U112" s="150"/>
      <c r="V112" s="150"/>
      <c r="W112" s="150"/>
      <c r="X112" s="150"/>
      <c r="Y112" s="150"/>
      <c r="Z112" s="150"/>
    </row>
    <row r="113" spans="1:26">
      <c r="A113" s="1" t="s">
        <v>98</v>
      </c>
    </row>
    <row r="114" spans="1:26" ht="16" customHeight="1">
      <c r="A114" s="149" t="s">
        <v>99</v>
      </c>
      <c r="B114" s="150"/>
      <c r="C114" s="150"/>
      <c r="D114" s="150"/>
      <c r="E114" s="150"/>
      <c r="F114" s="150"/>
      <c r="G114" s="150"/>
      <c r="H114" s="150"/>
      <c r="I114" s="150"/>
      <c r="J114" s="150"/>
      <c r="K114" s="150"/>
      <c r="L114" s="150"/>
      <c r="M114" s="150"/>
      <c r="N114" s="150"/>
      <c r="O114" s="150"/>
      <c r="P114" s="150"/>
      <c r="Q114" s="150"/>
      <c r="R114" s="150"/>
      <c r="S114" s="150"/>
      <c r="T114" s="150"/>
      <c r="U114" s="150"/>
      <c r="V114" s="150"/>
      <c r="W114" s="150"/>
      <c r="X114" s="150"/>
      <c r="Y114" s="150"/>
      <c r="Z114" s="150"/>
    </row>
  </sheetData>
  <mergeCells count="8">
    <mergeCell ref="A1:Z1"/>
    <mergeCell ref="A36:Z36"/>
    <mergeCell ref="A112:Z112"/>
    <mergeCell ref="A114:Z114"/>
    <mergeCell ref="A49:A52"/>
    <mergeCell ref="Z49:Z52"/>
    <mergeCell ref="A82:A85"/>
    <mergeCell ref="Z82:Z85"/>
  </mergeCells>
  <hyperlinks>
    <hyperlink ref="A2" r:id="rId1" display="https://f1fantasytools.com/" xr:uid="{00000000-0004-0000-0D00-000000000000}"/>
    <hyperlink ref="A3" r:id="rId2" display="https://f1fantasytools.com/team-calculator" xr:uid="{00000000-0004-0000-0D00-000001000000}"/>
    <hyperlink ref="A4" r:id="rId3" display="https://f1fantasytools.com/budget-builder" xr:uid="{00000000-0004-0000-0D00-000002000000}"/>
    <hyperlink ref="A5" r:id="rId4" display="https://f1fantasytools.com/live" xr:uid="{00000000-0004-0000-0D00-000003000000}"/>
    <hyperlink ref="A6" r:id="rId5" display="https://f1fantasytools.com/season-summary" xr:uid="{00000000-0004-0000-0D00-000004000000}"/>
    <hyperlink ref="A7" r:id="rId6" display="https://f1fantasytools.com/elite-data" xr:uid="{00000000-0004-0000-0D00-000005000000}"/>
    <hyperlink ref="A8" r:id="rId7" display="https://f1fantasytools.com/statistics" xr:uid="{00000000-0004-0000-0D00-000006000000}"/>
    <hyperlink ref="A9" r:id="rId8" display="https://f1fantasytools.com/team-analyzer" xr:uid="{00000000-0004-0000-0D00-000007000000}"/>
    <hyperlink ref="A10" r:id="rId9" display="https://f1fantasytools.com/league-analyzer" xr:uid="{00000000-0004-0000-0D00-000008000000}"/>
    <hyperlink ref="A11" r:id="rId10" display="https://f1fantasytools.com/hindsight" xr:uid="{00000000-0004-0000-0D00-000009000000}"/>
    <hyperlink ref="A14" r:id="rId11" display="https://f1fantasytools.com/pricing" xr:uid="{00000000-0004-0000-0D00-00000A000000}"/>
    <hyperlink ref="A15" r:id="rId12" display="https://f1fantasytools.com/pricing" xr:uid="{00000000-0004-0000-0D00-00000B000000}"/>
    <hyperlink ref="A16" r:id="rId13" display="https://f1fantasytools.com/login" xr:uid="{00000000-0004-0000-0D00-00000C000000}"/>
    <hyperlink ref="A17" r:id="rId14" display="https://f1fantasytools.com/login" xr:uid="{00000000-0004-0000-0D00-00000D000000}"/>
    <hyperlink ref="A20" r:id="rId15" display="https://f1fantasytools.com/" xr:uid="{00000000-0004-0000-0D00-00000E000000}"/>
    <hyperlink ref="A21" r:id="rId16" display="https://f1fantasytools.com/team-calculator" xr:uid="{00000000-0004-0000-0D00-00000F000000}"/>
    <hyperlink ref="A22" r:id="rId17" display="https://f1fantasytools.com/budget-builder" xr:uid="{00000000-0004-0000-0D00-000010000000}"/>
    <hyperlink ref="A23" r:id="rId18" display="https://f1fantasytools.com/live" xr:uid="{00000000-0004-0000-0D00-000011000000}"/>
    <hyperlink ref="A24" r:id="rId19" display="https://f1fantasytools.com/season-summary" xr:uid="{00000000-0004-0000-0D00-000012000000}"/>
    <hyperlink ref="A25" r:id="rId20" display="https://f1fantasytools.com/elite-data" xr:uid="{00000000-0004-0000-0D00-000013000000}"/>
    <hyperlink ref="A26" r:id="rId21" display="https://f1fantasytools.com/statistics" xr:uid="{00000000-0004-0000-0D00-000014000000}"/>
    <hyperlink ref="A27" r:id="rId22" display="https://f1fantasytools.com/team-analyzer" xr:uid="{00000000-0004-0000-0D00-000015000000}"/>
    <hyperlink ref="A28" r:id="rId23" display="https://f1fantasytools.com/league-analyzer" xr:uid="{00000000-0004-0000-0D00-000016000000}"/>
    <hyperlink ref="A29" r:id="rId24" display="https://f1fantasytools.com/hindsight" xr:uid="{00000000-0004-0000-0D00-000017000000}"/>
    <hyperlink ref="A111" r:id="rId25" display="https://f1fantasytools.com/legal" xr:uid="{00000000-0004-0000-0D00-000018000000}"/>
  </hyperlinks>
  <pageMargins left="0.75" right="0.75" top="1" bottom="1" header="0.5" footer="0.5"/>
  <drawing r:id="rId26"/>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7"/>
  </sheetPr>
  <dimension ref="A1:Z25"/>
  <sheetViews>
    <sheetView workbookViewId="0">
      <selection activeCell="A21" sqref="A21:Y21"/>
    </sheetView>
  </sheetViews>
  <sheetFormatPr baseColWidth="10" defaultRowHeight="16"/>
  <sheetData>
    <row r="1" spans="1:26">
      <c r="B1">
        <v>1</v>
      </c>
      <c r="C1">
        <v>2</v>
      </c>
      <c r="D1">
        <v>3</v>
      </c>
      <c r="E1">
        <v>4</v>
      </c>
      <c r="F1">
        <v>5</v>
      </c>
      <c r="G1">
        <v>6</v>
      </c>
      <c r="H1">
        <v>7</v>
      </c>
      <c r="I1">
        <v>8</v>
      </c>
      <c r="J1">
        <v>9</v>
      </c>
      <c r="K1">
        <v>10</v>
      </c>
      <c r="L1">
        <v>11</v>
      </c>
      <c r="M1">
        <v>12</v>
      </c>
      <c r="N1">
        <v>13</v>
      </c>
      <c r="O1">
        <v>14</v>
      </c>
      <c r="P1">
        <v>15</v>
      </c>
      <c r="Q1">
        <v>16</v>
      </c>
      <c r="R1">
        <v>17</v>
      </c>
      <c r="S1">
        <v>18</v>
      </c>
      <c r="T1">
        <v>19</v>
      </c>
      <c r="U1">
        <v>20</v>
      </c>
      <c r="V1">
        <v>21</v>
      </c>
      <c r="W1">
        <v>22</v>
      </c>
      <c r="X1">
        <v>23</v>
      </c>
      <c r="Y1">
        <v>24</v>
      </c>
    </row>
    <row r="2" spans="1:26">
      <c r="A2" s="111" t="s">
        <v>57</v>
      </c>
      <c r="B2" s="111">
        <v>29</v>
      </c>
      <c r="C2" s="111">
        <v>29.3</v>
      </c>
      <c r="D2" s="111">
        <v>29.6</v>
      </c>
      <c r="E2" s="111">
        <v>29.9</v>
      </c>
      <c r="F2" s="111">
        <v>30</v>
      </c>
      <c r="G2" s="111">
        <v>30.1</v>
      </c>
      <c r="H2" s="111">
        <v>30.4</v>
      </c>
      <c r="I2" s="111">
        <v>30.7</v>
      </c>
      <c r="J2" s="111">
        <v>31</v>
      </c>
      <c r="K2" s="111">
        <v>31.1</v>
      </c>
      <c r="L2" s="111">
        <v>31</v>
      </c>
      <c r="M2" s="111">
        <v>30.9</v>
      </c>
      <c r="N2" s="111">
        <v>30.8</v>
      </c>
      <c r="O2" s="111">
        <v>31.1</v>
      </c>
      <c r="P2" s="111">
        <v>31.4</v>
      </c>
      <c r="Q2" s="111">
        <v>31.3</v>
      </c>
      <c r="R2" s="111">
        <v>31.2</v>
      </c>
      <c r="S2" s="111">
        <v>30.9</v>
      </c>
      <c r="T2" s="111">
        <v>30.8</v>
      </c>
      <c r="U2" s="111">
        <v>30.5</v>
      </c>
      <c r="V2" s="111">
        <v>30.4</v>
      </c>
      <c r="W2" s="111">
        <v>30.5</v>
      </c>
      <c r="X2" s="111">
        <v>30.4</v>
      </c>
      <c r="Y2" s="111">
        <v>30.3</v>
      </c>
      <c r="Z2" s="111"/>
    </row>
    <row r="3" spans="1:26">
      <c r="A3" s="111" t="s">
        <v>56</v>
      </c>
      <c r="B3" s="111">
        <v>28.4</v>
      </c>
      <c r="C3" s="111">
        <v>28.5</v>
      </c>
      <c r="D3" s="111">
        <v>28.6</v>
      </c>
      <c r="E3" s="111">
        <v>28.7</v>
      </c>
      <c r="F3" s="111">
        <v>28.8</v>
      </c>
      <c r="G3" s="111">
        <v>28.9</v>
      </c>
      <c r="H3" s="111">
        <v>28.8</v>
      </c>
      <c r="I3" s="111">
        <v>29.1</v>
      </c>
      <c r="J3" s="111">
        <v>29.2</v>
      </c>
      <c r="K3" s="111">
        <v>29.3</v>
      </c>
      <c r="L3" s="111">
        <v>29.2</v>
      </c>
      <c r="M3" s="111">
        <v>28.9</v>
      </c>
      <c r="N3" s="111">
        <v>28.6</v>
      </c>
      <c r="O3" s="111">
        <v>28.3</v>
      </c>
      <c r="P3" s="111">
        <v>28.2</v>
      </c>
      <c r="Q3" s="111">
        <v>28.1</v>
      </c>
      <c r="R3" s="111">
        <v>28.2</v>
      </c>
      <c r="S3" s="111">
        <v>28.5</v>
      </c>
      <c r="T3" s="111">
        <v>28.8</v>
      </c>
      <c r="U3" s="111">
        <v>29.1</v>
      </c>
      <c r="V3" s="111">
        <v>29.2</v>
      </c>
      <c r="W3" s="111">
        <v>29.5</v>
      </c>
      <c r="X3" s="111">
        <v>29.8</v>
      </c>
      <c r="Y3" s="111">
        <v>30.1</v>
      </c>
      <c r="Z3" s="111"/>
    </row>
    <row r="4" spans="1:26">
      <c r="A4" s="111" t="s">
        <v>58</v>
      </c>
      <c r="B4" s="111">
        <v>23</v>
      </c>
      <c r="C4" s="111">
        <v>22.7</v>
      </c>
      <c r="D4" s="111">
        <v>23</v>
      </c>
      <c r="E4" s="111">
        <v>23.1</v>
      </c>
      <c r="F4" s="111">
        <v>23.4</v>
      </c>
      <c r="G4" s="111">
        <v>23.7</v>
      </c>
      <c r="H4" s="111">
        <v>24</v>
      </c>
      <c r="I4" s="111">
        <v>24.3</v>
      </c>
      <c r="J4" s="111">
        <v>24.6</v>
      </c>
      <c r="K4" s="111">
        <v>24.9</v>
      </c>
      <c r="L4" s="111">
        <v>25.2</v>
      </c>
      <c r="M4" s="111">
        <v>25.5</v>
      </c>
      <c r="N4" s="111">
        <v>25.8</v>
      </c>
      <c r="O4" s="111">
        <v>26.1</v>
      </c>
      <c r="P4" s="111">
        <v>26.4</v>
      </c>
      <c r="Q4" s="111">
        <v>26.7</v>
      </c>
      <c r="R4" s="111">
        <v>27</v>
      </c>
      <c r="S4" s="111">
        <v>26.9</v>
      </c>
      <c r="T4" s="111">
        <v>26.6</v>
      </c>
      <c r="U4" s="111">
        <v>26.3</v>
      </c>
      <c r="V4" s="111">
        <v>26</v>
      </c>
      <c r="W4" s="111">
        <v>25.7</v>
      </c>
      <c r="X4" s="111">
        <v>25.4</v>
      </c>
      <c r="Y4" s="111">
        <v>25.1</v>
      </c>
      <c r="Z4" s="111"/>
    </row>
    <row r="5" spans="1:26">
      <c r="A5" s="111" t="s">
        <v>60</v>
      </c>
      <c r="B5" s="111">
        <v>25.9</v>
      </c>
      <c r="C5" s="111">
        <v>25.6</v>
      </c>
      <c r="D5" s="111">
        <v>25.3</v>
      </c>
      <c r="E5" s="111">
        <v>25</v>
      </c>
      <c r="F5" s="111">
        <v>24.7</v>
      </c>
      <c r="G5" s="111">
        <v>24.6</v>
      </c>
      <c r="H5" s="111">
        <v>24.3</v>
      </c>
      <c r="I5" s="111">
        <v>24</v>
      </c>
      <c r="J5" s="111">
        <v>23.9</v>
      </c>
      <c r="K5" s="111">
        <v>24.2</v>
      </c>
      <c r="L5" s="111">
        <v>24.3</v>
      </c>
      <c r="M5" s="111">
        <v>24.4</v>
      </c>
      <c r="N5" s="111">
        <v>24.1</v>
      </c>
      <c r="O5" s="111">
        <v>24</v>
      </c>
      <c r="P5" s="111">
        <v>23.9</v>
      </c>
      <c r="Q5" s="111">
        <v>23.6</v>
      </c>
      <c r="R5" s="111">
        <v>23.3</v>
      </c>
      <c r="S5" s="111">
        <v>23</v>
      </c>
      <c r="T5" s="111">
        <v>22.9</v>
      </c>
      <c r="U5" s="111">
        <v>23</v>
      </c>
      <c r="V5" s="111">
        <v>23.3</v>
      </c>
      <c r="W5" s="111">
        <v>23.4</v>
      </c>
      <c r="X5" s="111">
        <v>23.3</v>
      </c>
      <c r="Y5" s="111">
        <v>23</v>
      </c>
      <c r="Z5" s="111"/>
    </row>
    <row r="6" spans="1:26">
      <c r="A6" s="111" t="s">
        <v>61</v>
      </c>
      <c r="B6" s="111">
        <v>24.2</v>
      </c>
      <c r="C6" s="111">
        <v>23.9</v>
      </c>
      <c r="D6" s="111">
        <v>23.6</v>
      </c>
      <c r="E6" s="111">
        <v>23.3</v>
      </c>
      <c r="F6" s="111">
        <v>23.2</v>
      </c>
      <c r="G6" s="111">
        <v>23.3</v>
      </c>
      <c r="H6" s="111">
        <v>23.6</v>
      </c>
      <c r="I6" s="111">
        <v>23.7</v>
      </c>
      <c r="J6" s="111">
        <v>23.8</v>
      </c>
      <c r="K6" s="111">
        <v>23.7</v>
      </c>
      <c r="L6" s="111">
        <v>23.6</v>
      </c>
      <c r="M6" s="111">
        <v>23.5</v>
      </c>
      <c r="N6" s="111">
        <v>23.4</v>
      </c>
      <c r="O6" s="111">
        <v>23.7</v>
      </c>
      <c r="P6" s="111">
        <v>23.8</v>
      </c>
      <c r="Q6" s="111">
        <v>23.5</v>
      </c>
      <c r="R6" s="111">
        <v>23.2</v>
      </c>
      <c r="S6" s="111">
        <v>22.9</v>
      </c>
      <c r="T6" s="111">
        <v>22.8</v>
      </c>
      <c r="U6" s="111">
        <v>22.7</v>
      </c>
      <c r="V6" s="111">
        <v>22.8</v>
      </c>
      <c r="W6" s="111">
        <v>22.5</v>
      </c>
      <c r="X6" s="111">
        <v>22.2</v>
      </c>
      <c r="Y6" s="111">
        <v>21.9</v>
      </c>
      <c r="Z6" s="111"/>
    </row>
    <row r="7" spans="1:26">
      <c r="A7" s="111" t="s">
        <v>59</v>
      </c>
      <c r="B7" s="111">
        <v>21</v>
      </c>
      <c r="C7" s="111">
        <v>21.1</v>
      </c>
      <c r="D7" s="111">
        <v>21.4</v>
      </c>
      <c r="E7" s="111">
        <v>21.7</v>
      </c>
      <c r="F7" s="111">
        <v>22</v>
      </c>
      <c r="G7" s="111">
        <v>22.1</v>
      </c>
      <c r="H7" s="111">
        <v>22.2</v>
      </c>
      <c r="I7" s="111">
        <v>22.3</v>
      </c>
      <c r="J7" s="111">
        <v>22.2</v>
      </c>
      <c r="K7" s="111">
        <v>21.9</v>
      </c>
      <c r="L7" s="111">
        <v>22</v>
      </c>
      <c r="M7" s="111">
        <v>22.3</v>
      </c>
      <c r="N7" s="111">
        <v>22.4</v>
      </c>
      <c r="O7" s="111">
        <v>22.3</v>
      </c>
      <c r="P7" s="111">
        <v>22.4</v>
      </c>
      <c r="Q7" s="111">
        <v>22.5</v>
      </c>
      <c r="R7" s="111">
        <v>22.6</v>
      </c>
      <c r="S7" s="111">
        <v>22.7</v>
      </c>
      <c r="T7" s="111">
        <v>23</v>
      </c>
      <c r="U7" s="111">
        <v>23.3</v>
      </c>
      <c r="V7" s="111">
        <v>23.4</v>
      </c>
      <c r="W7" s="111">
        <v>23.5</v>
      </c>
      <c r="X7" s="111">
        <v>23.6</v>
      </c>
      <c r="Y7" s="111">
        <v>23.7</v>
      </c>
      <c r="Z7" s="111"/>
    </row>
    <row r="8" spans="1:26">
      <c r="A8" s="111" t="s">
        <v>71</v>
      </c>
      <c r="B8" s="111">
        <v>18</v>
      </c>
      <c r="C8" s="111">
        <v>17.399999999999999</v>
      </c>
      <c r="D8" s="111"/>
      <c r="E8" s="111"/>
      <c r="F8" s="111"/>
      <c r="G8" s="111"/>
      <c r="H8" s="111"/>
      <c r="I8" s="111"/>
      <c r="J8" s="111"/>
      <c r="K8" s="111"/>
      <c r="L8" s="111"/>
      <c r="M8" s="111"/>
      <c r="N8" s="111"/>
      <c r="O8" s="111"/>
      <c r="P8" s="111"/>
      <c r="Q8" s="111"/>
      <c r="R8" s="111"/>
      <c r="S8" s="111"/>
      <c r="T8" s="111"/>
      <c r="U8" s="111"/>
      <c r="V8" s="111"/>
      <c r="W8" s="111"/>
      <c r="X8" s="111"/>
      <c r="Y8" s="111"/>
      <c r="Z8" s="111"/>
    </row>
    <row r="9" spans="1:26">
      <c r="A9" s="111" t="s">
        <v>62</v>
      </c>
      <c r="B9" s="111">
        <v>18.399999999999999</v>
      </c>
      <c r="C9" s="111">
        <v>19</v>
      </c>
      <c r="D9" s="111">
        <v>19.3</v>
      </c>
      <c r="E9" s="111">
        <v>19.600000000000001</v>
      </c>
      <c r="F9" s="111">
        <v>19.7</v>
      </c>
      <c r="G9" s="111">
        <v>19.600000000000001</v>
      </c>
      <c r="H9" s="111">
        <v>19.5</v>
      </c>
      <c r="I9" s="111">
        <v>19.2</v>
      </c>
      <c r="J9" s="111">
        <v>18.899999999999999</v>
      </c>
      <c r="K9" s="111">
        <v>18.600000000000001</v>
      </c>
      <c r="L9" s="111">
        <v>18.3</v>
      </c>
      <c r="M9" s="111">
        <v>17.7</v>
      </c>
      <c r="N9" s="111">
        <v>17.100000000000001</v>
      </c>
      <c r="O9" s="111">
        <v>16.5</v>
      </c>
      <c r="P9" s="111">
        <v>15.9</v>
      </c>
      <c r="Q9" s="111">
        <v>15.7</v>
      </c>
      <c r="R9" s="111">
        <v>15.1</v>
      </c>
      <c r="S9" s="111">
        <v>14.9</v>
      </c>
      <c r="T9" s="111">
        <v>15.1</v>
      </c>
      <c r="U9" s="111">
        <v>15.7</v>
      </c>
      <c r="V9" s="111">
        <v>16.3</v>
      </c>
      <c r="W9" s="111">
        <v>16.899999999999999</v>
      </c>
      <c r="X9" s="111">
        <v>17.5</v>
      </c>
      <c r="Y9" s="111">
        <v>18.100000000000001</v>
      </c>
      <c r="Z9" s="111"/>
    </row>
    <row r="10" spans="1:26">
      <c r="A10" s="111" t="s">
        <v>65</v>
      </c>
      <c r="B10" s="111"/>
      <c r="C10" s="111"/>
      <c r="D10" s="111">
        <v>16.8</v>
      </c>
      <c r="E10" s="111">
        <v>16.600000000000001</v>
      </c>
      <c r="F10" s="111">
        <v>16.399999999999999</v>
      </c>
      <c r="G10" s="111">
        <v>15.8</v>
      </c>
      <c r="H10" s="111">
        <v>15.2</v>
      </c>
      <c r="I10" s="111">
        <v>14.6</v>
      </c>
      <c r="J10" s="111">
        <v>14.4</v>
      </c>
      <c r="K10" s="111">
        <v>13.8</v>
      </c>
      <c r="L10" s="111">
        <v>13.2</v>
      </c>
      <c r="M10" s="111">
        <v>13</v>
      </c>
      <c r="N10" s="111">
        <v>12.4</v>
      </c>
      <c r="O10" s="111">
        <v>11.8</v>
      </c>
      <c r="P10" s="111">
        <v>11.2</v>
      </c>
      <c r="Q10" s="111">
        <v>10.6</v>
      </c>
      <c r="R10" s="111">
        <v>10</v>
      </c>
      <c r="S10" s="111">
        <v>9.8000000000000007</v>
      </c>
      <c r="T10" s="111">
        <v>9.6</v>
      </c>
      <c r="U10" s="111">
        <v>10.199999999999999</v>
      </c>
      <c r="V10" s="111">
        <v>10.8</v>
      </c>
      <c r="W10" s="111">
        <v>11.4</v>
      </c>
      <c r="X10" s="111">
        <v>11.2</v>
      </c>
      <c r="Y10" s="111">
        <v>11.4</v>
      </c>
      <c r="Z10" s="111"/>
    </row>
    <row r="11" spans="1:26">
      <c r="A11" s="111" t="s">
        <v>64</v>
      </c>
      <c r="B11" s="111">
        <v>12</v>
      </c>
      <c r="C11" s="111">
        <v>12.6</v>
      </c>
      <c r="D11" s="111">
        <v>12.8</v>
      </c>
      <c r="E11" s="111">
        <v>13</v>
      </c>
      <c r="F11" s="111">
        <v>12.8</v>
      </c>
      <c r="G11" s="111">
        <v>12.6</v>
      </c>
      <c r="H11" s="111">
        <v>12.8</v>
      </c>
      <c r="I11" s="111">
        <v>13.4</v>
      </c>
      <c r="J11" s="111">
        <v>13.6</v>
      </c>
      <c r="K11" s="111">
        <v>13</v>
      </c>
      <c r="L11" s="111">
        <v>12.4</v>
      </c>
      <c r="M11" s="111">
        <v>11.8</v>
      </c>
      <c r="N11" s="111">
        <v>11.2</v>
      </c>
      <c r="O11" s="111">
        <v>10.6</v>
      </c>
      <c r="P11" s="111">
        <v>11.2</v>
      </c>
      <c r="Q11" s="111">
        <v>11.8</v>
      </c>
      <c r="R11" s="111">
        <v>12.4</v>
      </c>
      <c r="S11" s="111">
        <v>13</v>
      </c>
      <c r="T11" s="111">
        <v>12.8</v>
      </c>
      <c r="U11" s="111">
        <v>13</v>
      </c>
      <c r="V11" s="111">
        <v>13.2</v>
      </c>
      <c r="W11" s="111">
        <v>13.8</v>
      </c>
      <c r="X11" s="111">
        <v>13.2</v>
      </c>
      <c r="Y11" s="111">
        <v>12.6</v>
      </c>
      <c r="Z11" s="111"/>
    </row>
    <row r="12" spans="1:26">
      <c r="A12" s="111" t="s">
        <v>65</v>
      </c>
      <c r="B12" s="111">
        <v>9.6</v>
      </c>
      <c r="C12" s="111">
        <v>9</v>
      </c>
      <c r="D12" s="111"/>
      <c r="E12" s="111"/>
      <c r="F12" s="111"/>
      <c r="G12" s="111"/>
      <c r="H12" s="111"/>
      <c r="I12" s="111"/>
      <c r="J12" s="111"/>
      <c r="K12" s="111"/>
      <c r="L12" s="111"/>
      <c r="M12" s="111"/>
      <c r="N12" s="111"/>
      <c r="O12" s="111"/>
      <c r="P12" s="111"/>
      <c r="Q12" s="111"/>
      <c r="R12" s="111"/>
      <c r="S12" s="111"/>
      <c r="T12" s="111"/>
      <c r="U12" s="111"/>
      <c r="V12" s="111"/>
      <c r="W12" s="111"/>
      <c r="X12" s="111"/>
      <c r="Y12" s="111"/>
      <c r="Z12" s="111"/>
    </row>
    <row r="13" spans="1:26">
      <c r="A13" s="111" t="s">
        <v>68</v>
      </c>
      <c r="B13" s="111">
        <v>8.1</v>
      </c>
      <c r="C13" s="111">
        <v>8.6999999999999993</v>
      </c>
      <c r="D13" s="111">
        <v>9.3000000000000007</v>
      </c>
      <c r="E13" s="111">
        <v>9.9</v>
      </c>
      <c r="F13" s="111">
        <v>9.6999999999999993</v>
      </c>
      <c r="G13" s="111">
        <v>9.1</v>
      </c>
      <c r="H13" s="111">
        <v>9.6999999999999993</v>
      </c>
      <c r="I13" s="111">
        <v>9.5</v>
      </c>
      <c r="J13" s="111">
        <v>9.6999999999999993</v>
      </c>
      <c r="K13" s="111">
        <v>9.1</v>
      </c>
      <c r="L13" s="111">
        <v>8.5</v>
      </c>
      <c r="M13" s="111">
        <v>7.9</v>
      </c>
      <c r="N13" s="111">
        <v>8.5</v>
      </c>
      <c r="O13" s="111">
        <v>9.1</v>
      </c>
      <c r="P13" s="111">
        <v>9.6999999999999993</v>
      </c>
      <c r="Q13" s="111">
        <v>10.3</v>
      </c>
      <c r="R13" s="111">
        <v>10.5</v>
      </c>
      <c r="S13" s="111">
        <v>9.9</v>
      </c>
      <c r="T13" s="111">
        <v>9.3000000000000007</v>
      </c>
      <c r="U13" s="111">
        <v>8.6999999999999993</v>
      </c>
      <c r="V13" s="111">
        <v>8.5</v>
      </c>
      <c r="W13" s="111">
        <v>7.9</v>
      </c>
      <c r="X13" s="111">
        <v>7.3</v>
      </c>
      <c r="Y13" s="111">
        <v>6.7</v>
      </c>
      <c r="Z13" s="111"/>
    </row>
    <row r="14" spans="1:26">
      <c r="A14" s="111" t="s">
        <v>69</v>
      </c>
      <c r="B14" s="111">
        <v>13.1</v>
      </c>
      <c r="C14" s="111">
        <v>12.5</v>
      </c>
      <c r="D14" s="111">
        <v>11.9</v>
      </c>
      <c r="E14" s="111">
        <v>11.3</v>
      </c>
      <c r="F14" s="111">
        <v>10.7</v>
      </c>
      <c r="G14" s="111">
        <v>10.1</v>
      </c>
      <c r="H14" s="111">
        <v>9.5</v>
      </c>
      <c r="I14" s="111">
        <v>9.3000000000000007</v>
      </c>
      <c r="J14" s="111">
        <v>8.6999999999999993</v>
      </c>
      <c r="K14" s="111">
        <v>8.5</v>
      </c>
      <c r="L14" s="111">
        <v>8.3000000000000007</v>
      </c>
      <c r="M14" s="111">
        <v>7.7</v>
      </c>
      <c r="N14" s="111">
        <v>7.1</v>
      </c>
      <c r="O14" s="111">
        <v>6.5</v>
      </c>
      <c r="P14" s="111">
        <v>5.9</v>
      </c>
      <c r="Q14" s="111">
        <v>5.7</v>
      </c>
      <c r="R14" s="111">
        <v>5.0999999999999996</v>
      </c>
      <c r="S14" s="111">
        <v>5.7</v>
      </c>
      <c r="T14" s="111">
        <v>6.3</v>
      </c>
      <c r="U14" s="111">
        <v>6.9</v>
      </c>
      <c r="V14" s="111">
        <v>6.3</v>
      </c>
      <c r="W14" s="111">
        <v>6.5</v>
      </c>
      <c r="X14" s="111">
        <v>7.1</v>
      </c>
      <c r="Y14" s="111">
        <v>7.7</v>
      </c>
      <c r="Z14" s="111"/>
    </row>
    <row r="15" spans="1:26">
      <c r="A15" s="111" t="s">
        <v>66</v>
      </c>
      <c r="B15" s="111">
        <v>7.3</v>
      </c>
      <c r="C15" s="111">
        <v>7.5</v>
      </c>
      <c r="D15" s="111">
        <v>8.1</v>
      </c>
      <c r="E15" s="111">
        <v>8.6999999999999993</v>
      </c>
      <c r="F15" s="111">
        <v>9.3000000000000007</v>
      </c>
      <c r="G15" s="111">
        <v>9.1</v>
      </c>
      <c r="H15" s="111">
        <v>9.3000000000000007</v>
      </c>
      <c r="I15" s="111">
        <v>8.6999999999999993</v>
      </c>
      <c r="J15" s="111">
        <v>8.1</v>
      </c>
      <c r="K15" s="111">
        <v>7.5</v>
      </c>
      <c r="L15" s="111">
        <v>7.7</v>
      </c>
      <c r="M15" s="111">
        <v>8.3000000000000007</v>
      </c>
      <c r="N15" s="111">
        <v>8.9</v>
      </c>
      <c r="O15" s="111">
        <v>9.1</v>
      </c>
      <c r="P15" s="111">
        <v>8.5</v>
      </c>
      <c r="Q15" s="111">
        <v>8.6999999999999993</v>
      </c>
      <c r="R15" s="111">
        <v>8.5</v>
      </c>
      <c r="S15" s="111">
        <v>8.3000000000000007</v>
      </c>
      <c r="T15" s="111">
        <v>7.7</v>
      </c>
      <c r="U15" s="111">
        <v>7.1</v>
      </c>
      <c r="V15" s="111">
        <v>6.5</v>
      </c>
      <c r="W15" s="111">
        <v>6.7</v>
      </c>
      <c r="X15" s="111">
        <v>7.3</v>
      </c>
      <c r="Y15" s="111">
        <v>7.9</v>
      </c>
      <c r="Z15" s="111"/>
    </row>
    <row r="16" spans="1:26">
      <c r="A16" s="111" t="s">
        <v>63</v>
      </c>
      <c r="B16" s="111">
        <v>6.7</v>
      </c>
      <c r="C16" s="111">
        <v>6.1</v>
      </c>
      <c r="D16" s="111">
        <v>6.7</v>
      </c>
      <c r="E16" s="111">
        <v>7.3</v>
      </c>
      <c r="F16" s="111">
        <v>7.9</v>
      </c>
      <c r="G16" s="111">
        <v>8.5</v>
      </c>
      <c r="H16" s="111">
        <v>8.6999999999999993</v>
      </c>
      <c r="I16" s="111">
        <v>8.1</v>
      </c>
      <c r="J16" s="111">
        <v>7.5</v>
      </c>
      <c r="K16" s="111">
        <v>6.9</v>
      </c>
      <c r="L16" s="111">
        <v>6.7</v>
      </c>
      <c r="M16" s="111">
        <v>6.9</v>
      </c>
      <c r="N16" s="111">
        <v>7.5</v>
      </c>
      <c r="O16" s="111">
        <v>8.1</v>
      </c>
      <c r="P16" s="111">
        <v>7.5</v>
      </c>
      <c r="Q16" s="111">
        <v>7.3</v>
      </c>
      <c r="R16" s="111">
        <v>6.7</v>
      </c>
      <c r="S16" s="111">
        <v>7.3</v>
      </c>
      <c r="T16" s="111">
        <v>7.1</v>
      </c>
      <c r="U16" s="111">
        <v>7.7</v>
      </c>
      <c r="V16" s="111">
        <v>8.3000000000000007</v>
      </c>
      <c r="W16" s="111">
        <v>8.9</v>
      </c>
      <c r="X16" s="111">
        <v>9.5</v>
      </c>
      <c r="Y16" s="111">
        <v>9.3000000000000007</v>
      </c>
      <c r="Z16" s="111"/>
    </row>
    <row r="17" spans="1:26">
      <c r="A17" s="111" t="s">
        <v>67</v>
      </c>
      <c r="B17" s="111">
        <v>6.4</v>
      </c>
      <c r="C17" s="111">
        <v>7</v>
      </c>
      <c r="D17" s="111">
        <v>7.6</v>
      </c>
      <c r="E17" s="111">
        <v>7.8</v>
      </c>
      <c r="F17" s="111">
        <v>7.2</v>
      </c>
      <c r="G17" s="111">
        <v>6.6</v>
      </c>
      <c r="H17" s="111">
        <v>6</v>
      </c>
      <c r="I17" s="111">
        <v>6.2</v>
      </c>
      <c r="J17" s="111">
        <v>6</v>
      </c>
      <c r="K17" s="111">
        <v>6.6</v>
      </c>
      <c r="L17" s="111">
        <v>7.2</v>
      </c>
      <c r="M17" s="111">
        <v>7.8</v>
      </c>
      <c r="N17" s="111">
        <v>8.4</v>
      </c>
      <c r="O17" s="111">
        <v>9</v>
      </c>
      <c r="P17" s="111">
        <v>9.6</v>
      </c>
      <c r="Q17" s="111">
        <v>9.8000000000000007</v>
      </c>
      <c r="R17" s="111">
        <v>9.1999999999999993</v>
      </c>
      <c r="S17" s="111">
        <v>8.6</v>
      </c>
      <c r="T17" s="111">
        <v>8</v>
      </c>
      <c r="U17" s="111">
        <v>7.4</v>
      </c>
      <c r="V17" s="111">
        <v>6.8</v>
      </c>
      <c r="W17" s="111">
        <v>6.2</v>
      </c>
      <c r="X17" s="111">
        <v>5.6</v>
      </c>
      <c r="Y17" s="111">
        <v>5</v>
      </c>
      <c r="Z17" s="111"/>
    </row>
    <row r="18" spans="1:26">
      <c r="A18" s="111" t="s">
        <v>72</v>
      </c>
      <c r="B18" s="111">
        <v>11.8</v>
      </c>
      <c r="C18" s="111">
        <v>11.2</v>
      </c>
      <c r="D18" s="111">
        <v>10.6</v>
      </c>
      <c r="E18" s="111">
        <v>10</v>
      </c>
      <c r="F18" s="111">
        <v>9.4</v>
      </c>
      <c r="G18" s="111">
        <v>8.8000000000000007</v>
      </c>
      <c r="H18" s="111">
        <v>8.1999999999999993</v>
      </c>
      <c r="I18" s="111">
        <v>7.6</v>
      </c>
      <c r="J18" s="111">
        <v>7</v>
      </c>
      <c r="K18" s="111">
        <v>6.4</v>
      </c>
      <c r="L18" s="111">
        <v>5.8</v>
      </c>
      <c r="M18" s="111">
        <v>6</v>
      </c>
      <c r="N18" s="111">
        <v>6.6</v>
      </c>
      <c r="O18" s="111">
        <v>6</v>
      </c>
      <c r="P18" s="111">
        <v>5.4</v>
      </c>
      <c r="Q18" s="111">
        <v>4.8</v>
      </c>
      <c r="R18" s="111">
        <v>4.5</v>
      </c>
      <c r="S18" s="111">
        <v>4.5</v>
      </c>
      <c r="T18" s="111">
        <v>4.5</v>
      </c>
      <c r="U18" s="111">
        <v>4.5</v>
      </c>
      <c r="V18" s="111">
        <v>4.7</v>
      </c>
      <c r="W18" s="111">
        <v>5.3</v>
      </c>
      <c r="X18" s="111">
        <v>5.9</v>
      </c>
      <c r="Y18" s="111">
        <v>6.5</v>
      </c>
      <c r="Z18" s="111"/>
    </row>
    <row r="19" spans="1:26">
      <c r="A19" s="111" t="s">
        <v>73</v>
      </c>
      <c r="B19" s="111">
        <v>8.8000000000000007</v>
      </c>
      <c r="C19" s="111">
        <v>8.1999999999999993</v>
      </c>
      <c r="D19" s="111">
        <v>7.6</v>
      </c>
      <c r="E19" s="111">
        <v>7</v>
      </c>
      <c r="F19" s="111">
        <v>6.4</v>
      </c>
      <c r="G19" s="111">
        <v>6.2</v>
      </c>
      <c r="H19" s="111">
        <v>5.6</v>
      </c>
      <c r="I19" s="111">
        <v>5</v>
      </c>
      <c r="J19" s="111">
        <v>4.5</v>
      </c>
      <c r="K19" s="111">
        <v>4.5</v>
      </c>
      <c r="L19" s="111">
        <v>5.0999999999999996</v>
      </c>
      <c r="M19" s="111">
        <v>5.7</v>
      </c>
      <c r="N19" s="111">
        <v>6.3</v>
      </c>
      <c r="O19" s="111">
        <v>6.9</v>
      </c>
      <c r="P19" s="111">
        <v>7.5</v>
      </c>
      <c r="Q19" s="111">
        <v>8.1</v>
      </c>
      <c r="R19" s="111">
        <v>7.9</v>
      </c>
      <c r="S19" s="111">
        <v>7.3</v>
      </c>
      <c r="T19" s="111">
        <v>6.7</v>
      </c>
      <c r="U19" s="111">
        <v>6.1</v>
      </c>
      <c r="V19" s="111">
        <v>5.5</v>
      </c>
      <c r="W19" s="111">
        <v>4.9000000000000004</v>
      </c>
      <c r="X19" s="111">
        <v>4.5</v>
      </c>
      <c r="Y19" s="111">
        <v>4.7</v>
      </c>
      <c r="Z19" s="111"/>
    </row>
    <row r="20" spans="1:26">
      <c r="A20" s="111" t="s">
        <v>76</v>
      </c>
      <c r="B20" s="111">
        <v>7.2</v>
      </c>
      <c r="C20" s="111">
        <v>6.6</v>
      </c>
      <c r="D20" s="111">
        <v>6</v>
      </c>
      <c r="E20" s="111">
        <v>5.4</v>
      </c>
      <c r="F20" s="111">
        <v>5.6</v>
      </c>
      <c r="G20" s="111">
        <v>5</v>
      </c>
      <c r="H20" s="111"/>
      <c r="I20" s="111"/>
      <c r="J20" s="111"/>
      <c r="K20" s="111"/>
      <c r="L20" s="111"/>
      <c r="M20" s="111"/>
      <c r="N20" s="111"/>
      <c r="O20" s="111"/>
      <c r="P20" s="111"/>
      <c r="Q20" s="111"/>
      <c r="R20" s="111"/>
      <c r="S20" s="111"/>
      <c r="T20" s="111"/>
      <c r="U20" s="111"/>
      <c r="V20" s="111"/>
      <c r="W20" s="111"/>
      <c r="X20" s="111"/>
      <c r="Y20" s="111"/>
      <c r="Z20" s="111"/>
    </row>
    <row r="21" spans="1:26">
      <c r="A21" s="111" t="s">
        <v>70</v>
      </c>
      <c r="B21" s="111">
        <v>6.2</v>
      </c>
      <c r="C21" s="111">
        <v>5.6</v>
      </c>
      <c r="D21" s="111">
        <v>5</v>
      </c>
      <c r="E21" s="111">
        <v>4.5</v>
      </c>
      <c r="F21" s="111">
        <v>5.0999999999999996</v>
      </c>
      <c r="G21" s="111">
        <v>5.7</v>
      </c>
      <c r="H21" s="111">
        <v>5.5</v>
      </c>
      <c r="I21" s="111">
        <v>5.3</v>
      </c>
      <c r="J21" s="111">
        <v>5.5</v>
      </c>
      <c r="K21" s="111">
        <v>6.1</v>
      </c>
      <c r="L21" s="111">
        <v>6.7</v>
      </c>
      <c r="M21" s="111">
        <v>6.9</v>
      </c>
      <c r="N21" s="111">
        <v>6.3</v>
      </c>
      <c r="O21" s="111">
        <v>5.7</v>
      </c>
      <c r="P21" s="111">
        <v>5.0999999999999996</v>
      </c>
      <c r="Q21" s="111">
        <v>5.7</v>
      </c>
      <c r="R21" s="111">
        <v>6.3</v>
      </c>
      <c r="S21" s="111">
        <v>6.9</v>
      </c>
      <c r="T21" s="111">
        <v>7.1</v>
      </c>
      <c r="U21" s="111">
        <v>6.5</v>
      </c>
      <c r="V21" s="111">
        <v>5.9</v>
      </c>
      <c r="W21" s="111">
        <v>5.7</v>
      </c>
      <c r="X21" s="111">
        <v>6.3</v>
      </c>
      <c r="Y21" s="111">
        <v>6.9</v>
      </c>
      <c r="Z21" s="111"/>
    </row>
    <row r="22" spans="1:26">
      <c r="A22" s="111" t="s">
        <v>71</v>
      </c>
      <c r="B22" s="111"/>
      <c r="C22" s="111"/>
      <c r="D22" s="111">
        <v>8.4</v>
      </c>
      <c r="E22" s="111">
        <v>7.8</v>
      </c>
      <c r="F22" s="111">
        <v>7.2</v>
      </c>
      <c r="G22" s="111">
        <v>6.6</v>
      </c>
      <c r="H22" s="111">
        <v>6</v>
      </c>
      <c r="I22" s="111">
        <v>5.4</v>
      </c>
      <c r="J22" s="111">
        <v>4.8</v>
      </c>
      <c r="K22" s="111">
        <v>5.4</v>
      </c>
      <c r="L22" s="111">
        <v>4.8</v>
      </c>
      <c r="M22" s="111">
        <v>4.5</v>
      </c>
      <c r="N22" s="111">
        <v>4.5</v>
      </c>
      <c r="O22" s="111">
        <v>4.5</v>
      </c>
      <c r="P22" s="111">
        <v>4.5</v>
      </c>
      <c r="Q22" s="111">
        <v>5.0999999999999996</v>
      </c>
      <c r="R22" s="111">
        <v>5.3</v>
      </c>
      <c r="S22" s="111">
        <v>5.9</v>
      </c>
      <c r="T22" s="111">
        <v>6.5</v>
      </c>
      <c r="U22" s="111">
        <v>7.1</v>
      </c>
      <c r="V22" s="111">
        <v>6.5</v>
      </c>
      <c r="W22" s="111">
        <v>5.9</v>
      </c>
      <c r="X22" s="111">
        <v>5.3</v>
      </c>
      <c r="Y22" s="111">
        <v>5.9</v>
      </c>
      <c r="Z22" s="111"/>
    </row>
    <row r="23" spans="1:26">
      <c r="A23" s="111" t="s">
        <v>74</v>
      </c>
      <c r="B23" s="111">
        <v>6</v>
      </c>
      <c r="C23" s="111">
        <v>5.4</v>
      </c>
      <c r="D23" s="111">
        <v>4.8</v>
      </c>
      <c r="E23" s="111">
        <v>4.5</v>
      </c>
      <c r="F23" s="111">
        <v>4.5</v>
      </c>
      <c r="G23" s="111">
        <v>4.5</v>
      </c>
      <c r="H23" s="111">
        <v>4.5</v>
      </c>
      <c r="I23" s="111">
        <v>4.5</v>
      </c>
      <c r="J23" s="111">
        <v>4.5</v>
      </c>
      <c r="K23" s="111">
        <v>4.5</v>
      </c>
      <c r="L23" s="111">
        <v>4.5</v>
      </c>
      <c r="M23" s="111">
        <v>5.0999999999999996</v>
      </c>
      <c r="N23" s="111">
        <v>4.9000000000000004</v>
      </c>
      <c r="O23" s="111">
        <v>4.7</v>
      </c>
      <c r="P23" s="111">
        <v>4.5</v>
      </c>
      <c r="Q23" s="111">
        <v>5.0999999999999996</v>
      </c>
      <c r="R23" s="111">
        <v>5.7</v>
      </c>
      <c r="S23" s="111">
        <v>5.9</v>
      </c>
      <c r="T23" s="111">
        <v>6.1</v>
      </c>
      <c r="U23" s="111">
        <v>6.7</v>
      </c>
      <c r="V23" s="111">
        <v>7.3</v>
      </c>
      <c r="W23" s="111">
        <v>6.7</v>
      </c>
      <c r="X23" s="111">
        <v>6.1</v>
      </c>
      <c r="Y23" s="111">
        <v>5.5</v>
      </c>
      <c r="Z23" s="111"/>
    </row>
    <row r="24" spans="1:26">
      <c r="A24" s="111" t="s">
        <v>75</v>
      </c>
      <c r="B24" s="111"/>
      <c r="C24" s="111"/>
      <c r="D24" s="111"/>
      <c r="E24" s="111"/>
      <c r="F24" s="111"/>
      <c r="G24" s="111"/>
      <c r="H24" s="111">
        <v>4.5</v>
      </c>
      <c r="I24" s="111">
        <v>4.5</v>
      </c>
      <c r="J24" s="111">
        <v>4.5</v>
      </c>
      <c r="K24" s="111">
        <v>4.5</v>
      </c>
      <c r="L24" s="111">
        <v>4.7</v>
      </c>
      <c r="M24" s="111">
        <v>4.9000000000000004</v>
      </c>
      <c r="N24" s="111">
        <v>4.5</v>
      </c>
      <c r="O24" s="111">
        <v>4.5</v>
      </c>
      <c r="P24" s="111">
        <v>4.5</v>
      </c>
      <c r="Q24" s="111">
        <v>4.5</v>
      </c>
      <c r="R24" s="111">
        <v>4.5</v>
      </c>
      <c r="S24" s="111">
        <v>4.5</v>
      </c>
      <c r="T24" s="111">
        <v>4.5</v>
      </c>
      <c r="U24" s="111">
        <v>4.5</v>
      </c>
      <c r="V24" s="111">
        <v>4.7</v>
      </c>
      <c r="W24" s="111">
        <v>4.5</v>
      </c>
      <c r="X24" s="111">
        <v>4.5</v>
      </c>
      <c r="Y24" s="111">
        <v>4.5</v>
      </c>
      <c r="Z24" s="111"/>
    </row>
    <row r="25" spans="1:26">
      <c r="A25" s="112"/>
      <c r="B25" s="111"/>
      <c r="C25" s="111"/>
      <c r="D25" s="111"/>
      <c r="E25" s="111"/>
      <c r="F25" s="111"/>
      <c r="G25" s="111"/>
      <c r="H25" s="111"/>
      <c r="I25" s="111"/>
      <c r="J25" s="111"/>
      <c r="K25" s="111"/>
      <c r="L25" s="111"/>
      <c r="M25" s="111"/>
      <c r="N25" s="111"/>
      <c r="O25" s="111"/>
      <c r="P25" s="111"/>
      <c r="Q25" s="111"/>
      <c r="R25" s="111"/>
      <c r="S25" s="111"/>
      <c r="T25" s="111"/>
      <c r="U25" s="111"/>
      <c r="V25" s="111"/>
      <c r="W25" s="111"/>
      <c r="X25" s="111"/>
      <c r="Y25" s="111"/>
      <c r="Z25" s="111"/>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7"/>
  </sheetPr>
  <dimension ref="A1:Z12"/>
  <sheetViews>
    <sheetView workbookViewId="0">
      <selection activeCell="P47" sqref="P47"/>
    </sheetView>
  </sheetViews>
  <sheetFormatPr baseColWidth="10" defaultRowHeight="16"/>
  <sheetData>
    <row r="1" spans="1:26">
      <c r="B1">
        <v>1</v>
      </c>
      <c r="C1">
        <v>2</v>
      </c>
      <c r="D1">
        <v>3</v>
      </c>
      <c r="E1">
        <v>4</v>
      </c>
      <c r="F1">
        <v>5</v>
      </c>
      <c r="G1">
        <v>6</v>
      </c>
      <c r="H1">
        <v>7</v>
      </c>
      <c r="I1">
        <v>8</v>
      </c>
      <c r="J1">
        <v>9</v>
      </c>
      <c r="K1">
        <v>10</v>
      </c>
      <c r="L1">
        <v>11</v>
      </c>
      <c r="M1">
        <v>12</v>
      </c>
      <c r="N1">
        <v>13</v>
      </c>
      <c r="O1">
        <v>14</v>
      </c>
      <c r="P1">
        <v>15</v>
      </c>
      <c r="Q1">
        <v>16</v>
      </c>
      <c r="R1">
        <v>17</v>
      </c>
      <c r="S1">
        <v>18</v>
      </c>
      <c r="T1">
        <v>19</v>
      </c>
      <c r="U1">
        <v>20</v>
      </c>
      <c r="V1">
        <v>21</v>
      </c>
      <c r="W1">
        <v>22</v>
      </c>
      <c r="X1">
        <v>23</v>
      </c>
      <c r="Y1">
        <v>24</v>
      </c>
      <c r="Z1" s="111"/>
    </row>
    <row r="2" spans="1:26">
      <c r="A2" s="111" t="s">
        <v>79</v>
      </c>
      <c r="B2" s="111">
        <v>30</v>
      </c>
      <c r="C2" s="111">
        <v>30.3</v>
      </c>
      <c r="D2" s="111">
        <v>30.6</v>
      </c>
      <c r="E2" s="111">
        <v>30.9</v>
      </c>
      <c r="F2" s="111">
        <v>31.2</v>
      </c>
      <c r="G2" s="111">
        <v>31.5</v>
      </c>
      <c r="H2" s="111">
        <v>31.8</v>
      </c>
      <c r="I2" s="111">
        <v>32.1</v>
      </c>
      <c r="J2" s="111">
        <v>32.4</v>
      </c>
      <c r="K2" s="111">
        <v>32.700000000000003</v>
      </c>
      <c r="L2" s="111">
        <v>33</v>
      </c>
      <c r="M2" s="111">
        <v>33.299999999999997</v>
      </c>
      <c r="N2" s="111">
        <v>33.6</v>
      </c>
      <c r="O2" s="111">
        <v>33.9</v>
      </c>
      <c r="P2" s="111">
        <v>34.200000000000003</v>
      </c>
      <c r="Q2" s="111">
        <v>34.5</v>
      </c>
      <c r="R2" s="111">
        <v>34.799999999999997</v>
      </c>
      <c r="S2" s="111">
        <v>35.1</v>
      </c>
      <c r="T2" s="111">
        <v>35.4</v>
      </c>
      <c r="U2" s="111">
        <v>35.299999999999997</v>
      </c>
      <c r="V2" s="111">
        <v>35.6</v>
      </c>
      <c r="W2" s="111">
        <v>35.9</v>
      </c>
      <c r="X2" s="111">
        <v>36</v>
      </c>
      <c r="Y2" s="111">
        <v>36.1</v>
      </c>
      <c r="Z2" s="111"/>
    </row>
    <row r="3" spans="1:26">
      <c r="A3" s="111" t="s">
        <v>82</v>
      </c>
      <c r="B3" s="111">
        <v>27.1</v>
      </c>
      <c r="C3" s="111">
        <v>27.4</v>
      </c>
      <c r="D3" s="111">
        <v>27.1</v>
      </c>
      <c r="E3" s="111">
        <v>27</v>
      </c>
      <c r="F3" s="111">
        <v>27.3</v>
      </c>
      <c r="G3" s="111">
        <v>27.6</v>
      </c>
      <c r="H3" s="111">
        <v>27.9</v>
      </c>
      <c r="I3" s="111">
        <v>28.2</v>
      </c>
      <c r="J3" s="111">
        <v>28.5</v>
      </c>
      <c r="K3" s="111">
        <v>28.8</v>
      </c>
      <c r="L3" s="111">
        <v>29.1</v>
      </c>
      <c r="M3" s="111">
        <v>29.4</v>
      </c>
      <c r="N3" s="111">
        <v>29.7</v>
      </c>
      <c r="O3" s="111">
        <v>30</v>
      </c>
      <c r="P3" s="111">
        <v>30.3</v>
      </c>
      <c r="Q3" s="111">
        <v>30.4</v>
      </c>
      <c r="R3" s="111">
        <v>30.5</v>
      </c>
      <c r="S3" s="111">
        <v>30.6</v>
      </c>
      <c r="T3" s="111">
        <v>30.9</v>
      </c>
      <c r="U3" s="111">
        <v>31.2</v>
      </c>
      <c r="V3" s="111">
        <v>31.5</v>
      </c>
      <c r="W3" s="111">
        <v>31.8</v>
      </c>
      <c r="X3" s="111">
        <v>31.9</v>
      </c>
      <c r="Y3" s="111">
        <v>31.8</v>
      </c>
      <c r="Z3" s="111"/>
    </row>
    <row r="4" spans="1:26">
      <c r="A4" s="111" t="s">
        <v>80</v>
      </c>
      <c r="B4" s="111">
        <v>25.2</v>
      </c>
      <c r="C4" s="111">
        <v>25.1</v>
      </c>
      <c r="D4" s="111">
        <v>25.4</v>
      </c>
      <c r="E4" s="111">
        <v>25.7</v>
      </c>
      <c r="F4" s="111">
        <v>26</v>
      </c>
      <c r="G4" s="111">
        <v>26.3</v>
      </c>
      <c r="H4" s="111">
        <v>26.6</v>
      </c>
      <c r="I4" s="111">
        <v>26.9</v>
      </c>
      <c r="J4" s="111">
        <v>27.2</v>
      </c>
      <c r="K4" s="111">
        <v>27.5</v>
      </c>
      <c r="L4" s="111">
        <v>27.8</v>
      </c>
      <c r="M4" s="111">
        <v>27.9</v>
      </c>
      <c r="N4" s="111">
        <v>28</v>
      </c>
      <c r="O4" s="111">
        <v>28.1</v>
      </c>
      <c r="P4" s="111">
        <v>28.4</v>
      </c>
      <c r="Q4" s="111">
        <v>28.7</v>
      </c>
      <c r="R4" s="111">
        <v>29</v>
      </c>
      <c r="S4" s="111">
        <v>29.3</v>
      </c>
      <c r="T4" s="111">
        <v>29.6</v>
      </c>
      <c r="U4" s="111">
        <v>29.9</v>
      </c>
      <c r="V4" s="111">
        <v>30.2</v>
      </c>
      <c r="W4" s="111">
        <v>30.5</v>
      </c>
      <c r="X4" s="111">
        <v>30.8</v>
      </c>
      <c r="Y4" s="111">
        <v>31.1</v>
      </c>
      <c r="Z4" s="111"/>
    </row>
    <row r="5" spans="1:26">
      <c r="A5" s="111" t="s">
        <v>81</v>
      </c>
      <c r="B5" s="111">
        <v>22.7</v>
      </c>
      <c r="C5" s="111">
        <v>23</v>
      </c>
      <c r="D5" s="111">
        <v>23.3</v>
      </c>
      <c r="E5" s="111">
        <v>23.6</v>
      </c>
      <c r="F5" s="111">
        <v>23.9</v>
      </c>
      <c r="G5" s="111">
        <v>24.2</v>
      </c>
      <c r="H5" s="111">
        <v>24.5</v>
      </c>
      <c r="I5" s="111">
        <v>24.8</v>
      </c>
      <c r="J5" s="111">
        <v>24.7</v>
      </c>
      <c r="K5" s="111">
        <v>24.4</v>
      </c>
      <c r="L5" s="111">
        <v>24.7</v>
      </c>
      <c r="M5" s="111">
        <v>25</v>
      </c>
      <c r="N5" s="111">
        <v>25.3</v>
      </c>
      <c r="O5" s="111">
        <v>25.4</v>
      </c>
      <c r="P5" s="111">
        <v>25.7</v>
      </c>
      <c r="Q5" s="111">
        <v>26</v>
      </c>
      <c r="R5" s="111">
        <v>26.3</v>
      </c>
      <c r="S5" s="111">
        <v>26.6</v>
      </c>
      <c r="T5" s="111">
        <v>26.9</v>
      </c>
      <c r="U5" s="111">
        <v>27.2</v>
      </c>
      <c r="V5" s="111">
        <v>27.5</v>
      </c>
      <c r="W5" s="111">
        <v>27.8</v>
      </c>
      <c r="X5" s="111">
        <v>28.1</v>
      </c>
      <c r="Y5" s="111">
        <v>28.4</v>
      </c>
      <c r="Z5" s="111"/>
    </row>
    <row r="6" spans="1:26">
      <c r="A6" s="111" t="s">
        <v>83</v>
      </c>
      <c r="B6" s="111">
        <v>13.1</v>
      </c>
      <c r="C6" s="111">
        <v>12.9</v>
      </c>
      <c r="D6" s="111">
        <v>13.5</v>
      </c>
      <c r="E6" s="111">
        <v>14.1</v>
      </c>
      <c r="F6" s="111">
        <v>14.7</v>
      </c>
      <c r="G6" s="111">
        <v>15.3</v>
      </c>
      <c r="H6" s="111">
        <v>15.9</v>
      </c>
      <c r="I6" s="111">
        <v>16.5</v>
      </c>
      <c r="J6" s="111">
        <v>17.100000000000001</v>
      </c>
      <c r="K6" s="111">
        <v>17.3</v>
      </c>
      <c r="L6" s="111">
        <v>16.7</v>
      </c>
      <c r="M6" s="111">
        <v>16.100000000000001</v>
      </c>
      <c r="N6" s="111">
        <v>15.5</v>
      </c>
      <c r="O6" s="111">
        <v>14.9</v>
      </c>
      <c r="P6" s="111">
        <v>15.5</v>
      </c>
      <c r="Q6" s="111">
        <v>16.100000000000001</v>
      </c>
      <c r="R6" s="111">
        <v>16.7</v>
      </c>
      <c r="S6" s="111">
        <v>17.3</v>
      </c>
      <c r="T6" s="111">
        <v>17.899999999999999</v>
      </c>
      <c r="U6" s="111">
        <v>18.5</v>
      </c>
      <c r="V6" s="111">
        <v>18.600000000000001</v>
      </c>
      <c r="W6" s="111">
        <v>18.899999999999999</v>
      </c>
      <c r="X6" s="111">
        <v>19.2</v>
      </c>
      <c r="Y6" s="111">
        <v>19.5</v>
      </c>
      <c r="Z6" s="111"/>
    </row>
    <row r="7" spans="1:26">
      <c r="A7" s="111" t="s">
        <v>85</v>
      </c>
      <c r="B7" s="111">
        <v>8</v>
      </c>
      <c r="C7" s="111">
        <v>7.4</v>
      </c>
      <c r="D7" s="111">
        <v>8</v>
      </c>
      <c r="E7" s="111">
        <v>8.6</v>
      </c>
      <c r="F7" s="111">
        <v>9.1999999999999993</v>
      </c>
      <c r="G7" s="111">
        <v>9.8000000000000007</v>
      </c>
      <c r="H7" s="111">
        <v>10</v>
      </c>
      <c r="I7" s="111">
        <v>10.6</v>
      </c>
      <c r="J7" s="111">
        <v>11.2</v>
      </c>
      <c r="K7" s="111">
        <v>11.8</v>
      </c>
      <c r="L7" s="111">
        <v>12.4</v>
      </c>
      <c r="M7" s="111">
        <v>13</v>
      </c>
      <c r="N7" s="111">
        <v>12.4</v>
      </c>
      <c r="O7" s="111">
        <v>11.8</v>
      </c>
      <c r="P7" s="111">
        <v>11.2</v>
      </c>
      <c r="Q7" s="111">
        <v>11.8</v>
      </c>
      <c r="R7" s="111">
        <v>12.4</v>
      </c>
      <c r="S7" s="111">
        <v>13</v>
      </c>
      <c r="T7" s="111">
        <v>13.6</v>
      </c>
      <c r="U7" s="111">
        <v>14.2</v>
      </c>
      <c r="V7" s="111">
        <v>14.4</v>
      </c>
      <c r="W7" s="111">
        <v>15</v>
      </c>
      <c r="X7" s="111">
        <v>15.6</v>
      </c>
      <c r="Y7" s="111">
        <v>16.2</v>
      </c>
      <c r="Z7" s="111"/>
    </row>
    <row r="8" spans="1:26">
      <c r="A8" s="111" t="s">
        <v>84</v>
      </c>
      <c r="B8" s="111">
        <v>7</v>
      </c>
      <c r="C8" s="111">
        <v>7.6</v>
      </c>
      <c r="D8" s="111">
        <v>8.1999999999999993</v>
      </c>
      <c r="E8" s="111">
        <v>8.8000000000000007</v>
      </c>
      <c r="F8" s="111">
        <v>9.4</v>
      </c>
      <c r="G8" s="111">
        <v>10</v>
      </c>
      <c r="H8" s="111">
        <v>10.6</v>
      </c>
      <c r="I8" s="111">
        <v>10</v>
      </c>
      <c r="J8" s="111">
        <v>9.8000000000000007</v>
      </c>
      <c r="K8" s="111">
        <v>9.6</v>
      </c>
      <c r="L8" s="111">
        <v>10.199999999999999</v>
      </c>
      <c r="M8" s="111">
        <v>10.8</v>
      </c>
      <c r="N8" s="111">
        <v>11.4</v>
      </c>
      <c r="O8" s="111">
        <v>12</v>
      </c>
      <c r="P8" s="111">
        <v>11.8</v>
      </c>
      <c r="Q8" s="111">
        <v>12.4</v>
      </c>
      <c r="R8" s="111">
        <v>12.6</v>
      </c>
      <c r="S8" s="111">
        <v>13.2</v>
      </c>
      <c r="T8" s="111">
        <v>13</v>
      </c>
      <c r="U8" s="111">
        <v>13.2</v>
      </c>
      <c r="V8" s="111">
        <v>13.8</v>
      </c>
      <c r="W8" s="111">
        <v>14.4</v>
      </c>
      <c r="X8" s="111">
        <v>15</v>
      </c>
      <c r="Y8" s="111">
        <v>15.6</v>
      </c>
      <c r="Z8" s="111"/>
    </row>
    <row r="9" spans="1:26">
      <c r="A9" s="111" t="s">
        <v>86</v>
      </c>
      <c r="B9" s="111">
        <v>8.5</v>
      </c>
      <c r="C9" s="111">
        <v>7.9</v>
      </c>
      <c r="D9" s="111">
        <v>7.3</v>
      </c>
      <c r="E9" s="111">
        <v>7.1</v>
      </c>
      <c r="F9" s="111">
        <v>7.7</v>
      </c>
      <c r="G9" s="111">
        <v>8.3000000000000007</v>
      </c>
      <c r="H9" s="111">
        <v>8.9</v>
      </c>
      <c r="I9" s="111">
        <v>9.5</v>
      </c>
      <c r="J9" s="111">
        <v>9.3000000000000007</v>
      </c>
      <c r="K9" s="111">
        <v>8.6999999999999993</v>
      </c>
      <c r="L9" s="111">
        <v>8.9</v>
      </c>
      <c r="M9" s="111">
        <v>9.5</v>
      </c>
      <c r="N9" s="111">
        <v>10.1</v>
      </c>
      <c r="O9" s="111">
        <v>10.7</v>
      </c>
      <c r="P9" s="111">
        <v>11.3</v>
      </c>
      <c r="Q9" s="111">
        <v>11.9</v>
      </c>
      <c r="R9" s="111">
        <v>12.5</v>
      </c>
      <c r="S9" s="111">
        <v>12.3</v>
      </c>
      <c r="T9" s="111">
        <v>12.1</v>
      </c>
      <c r="U9" s="111">
        <v>11.9</v>
      </c>
      <c r="V9" s="111">
        <v>11.7</v>
      </c>
      <c r="W9" s="111">
        <v>11.1</v>
      </c>
      <c r="X9" s="111">
        <v>10.5</v>
      </c>
      <c r="Y9" s="111">
        <v>10.3</v>
      </c>
      <c r="Z9" s="111"/>
    </row>
    <row r="10" spans="1:26">
      <c r="A10" s="111" t="s">
        <v>88</v>
      </c>
      <c r="B10" s="111">
        <v>9.5</v>
      </c>
      <c r="C10" s="111">
        <v>8.9</v>
      </c>
      <c r="D10" s="111">
        <v>8.3000000000000007</v>
      </c>
      <c r="E10" s="111">
        <v>7.7</v>
      </c>
      <c r="F10" s="111">
        <v>7.9</v>
      </c>
      <c r="G10" s="111">
        <v>8.1</v>
      </c>
      <c r="H10" s="111">
        <v>8.3000000000000007</v>
      </c>
      <c r="I10" s="111">
        <v>7.7</v>
      </c>
      <c r="J10" s="111">
        <v>7.1</v>
      </c>
      <c r="K10" s="111">
        <v>7.7</v>
      </c>
      <c r="L10" s="111">
        <v>8.3000000000000007</v>
      </c>
      <c r="M10" s="111">
        <v>8.9</v>
      </c>
      <c r="N10" s="111">
        <v>9.5</v>
      </c>
      <c r="O10" s="111">
        <v>8.9</v>
      </c>
      <c r="P10" s="111">
        <v>8.3000000000000007</v>
      </c>
      <c r="Q10" s="111">
        <v>7.7</v>
      </c>
      <c r="R10" s="111">
        <v>7.9</v>
      </c>
      <c r="S10" s="111">
        <v>8.1</v>
      </c>
      <c r="T10" s="111">
        <v>7.9</v>
      </c>
      <c r="U10" s="111">
        <v>8.5</v>
      </c>
      <c r="V10" s="111">
        <v>9.1</v>
      </c>
      <c r="W10" s="111">
        <v>9.6999999999999993</v>
      </c>
      <c r="X10" s="111">
        <v>9.9</v>
      </c>
      <c r="Y10" s="111">
        <v>10.1</v>
      </c>
      <c r="Z10" s="111"/>
    </row>
    <row r="11" spans="1:26">
      <c r="A11" s="111" t="s">
        <v>87</v>
      </c>
      <c r="B11" s="111">
        <v>6.2</v>
      </c>
      <c r="C11" s="111">
        <v>5.6</v>
      </c>
      <c r="D11" s="111">
        <v>6.2</v>
      </c>
      <c r="E11" s="111">
        <v>6</v>
      </c>
      <c r="F11" s="111">
        <v>5.4</v>
      </c>
      <c r="G11" s="111">
        <v>4.8</v>
      </c>
      <c r="H11" s="111">
        <v>4.5</v>
      </c>
      <c r="I11" s="111">
        <v>5.0999999999999996</v>
      </c>
      <c r="J11" s="111">
        <v>5.7</v>
      </c>
      <c r="K11" s="111">
        <v>6.3</v>
      </c>
      <c r="L11" s="111">
        <v>6.9</v>
      </c>
      <c r="M11" s="111">
        <v>7.5</v>
      </c>
      <c r="N11" s="111">
        <v>8.1</v>
      </c>
      <c r="O11" s="111">
        <v>8.6999999999999993</v>
      </c>
      <c r="P11" s="111">
        <v>9.3000000000000007</v>
      </c>
      <c r="Q11" s="111">
        <v>9.9</v>
      </c>
      <c r="R11" s="111">
        <v>10.5</v>
      </c>
      <c r="S11" s="111">
        <v>10.7</v>
      </c>
      <c r="T11" s="111">
        <v>10.1</v>
      </c>
      <c r="U11" s="111">
        <v>10.7</v>
      </c>
      <c r="V11" s="111">
        <v>10.5</v>
      </c>
      <c r="W11" s="111">
        <v>9.9</v>
      </c>
      <c r="X11" s="111">
        <v>9.3000000000000007</v>
      </c>
      <c r="Y11" s="111">
        <v>8.6999999999999993</v>
      </c>
      <c r="Z11" s="111"/>
    </row>
    <row r="12" spans="1:26">
      <c r="A12" s="112"/>
      <c r="B12" s="111"/>
      <c r="C12" s="111"/>
      <c r="D12" s="111"/>
      <c r="E12" s="111"/>
      <c r="F12" s="111"/>
      <c r="G12" s="111"/>
      <c r="H12" s="111"/>
      <c r="I12" s="111"/>
      <c r="J12" s="111"/>
      <c r="K12" s="111"/>
      <c r="L12" s="111"/>
      <c r="M12" s="111"/>
      <c r="N12" s="111"/>
      <c r="O12" s="111"/>
      <c r="P12" s="111"/>
      <c r="Q12" s="111"/>
      <c r="R12" s="111"/>
      <c r="S12" s="111"/>
      <c r="T12" s="111"/>
      <c r="U12" s="111"/>
      <c r="V12" s="111"/>
      <c r="W12" s="111"/>
      <c r="X12" s="111"/>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7"/>
  </sheetPr>
  <dimension ref="A1:Z23"/>
  <sheetViews>
    <sheetView workbookViewId="0">
      <selection activeCell="B1" sqref="B1:Y1"/>
    </sheetView>
  </sheetViews>
  <sheetFormatPr baseColWidth="10" defaultRowHeight="16"/>
  <sheetData>
    <row r="1" spans="1:26">
      <c r="B1">
        <v>1</v>
      </c>
      <c r="C1">
        <v>2</v>
      </c>
      <c r="D1">
        <v>3</v>
      </c>
      <c r="E1">
        <v>4</v>
      </c>
      <c r="F1">
        <v>5</v>
      </c>
      <c r="G1">
        <v>6</v>
      </c>
      <c r="H1">
        <v>7</v>
      </c>
      <c r="I1">
        <v>8</v>
      </c>
      <c r="J1">
        <v>9</v>
      </c>
      <c r="K1">
        <v>10</v>
      </c>
      <c r="L1">
        <v>11</v>
      </c>
      <c r="M1">
        <v>12</v>
      </c>
      <c r="N1">
        <v>13</v>
      </c>
      <c r="O1">
        <v>14</v>
      </c>
      <c r="P1">
        <v>15</v>
      </c>
      <c r="Q1">
        <v>16</v>
      </c>
      <c r="R1">
        <v>17</v>
      </c>
      <c r="S1">
        <v>18</v>
      </c>
      <c r="T1">
        <v>19</v>
      </c>
      <c r="U1">
        <v>20</v>
      </c>
      <c r="V1">
        <v>21</v>
      </c>
      <c r="W1">
        <v>22</v>
      </c>
      <c r="X1">
        <v>23</v>
      </c>
      <c r="Y1">
        <v>24</v>
      </c>
    </row>
    <row r="2" spans="1:26">
      <c r="A2" s="7" t="s">
        <v>56</v>
      </c>
      <c r="B2" s="7">
        <v>29</v>
      </c>
      <c r="C2" s="7">
        <v>30</v>
      </c>
      <c r="D2" s="7">
        <v>36</v>
      </c>
      <c r="E2" s="7">
        <v>22</v>
      </c>
      <c r="F2" s="7">
        <v>38</v>
      </c>
      <c r="G2" s="7">
        <v>12</v>
      </c>
      <c r="H2" s="7">
        <v>57</v>
      </c>
      <c r="I2" s="7">
        <v>18</v>
      </c>
      <c r="J2" s="7">
        <v>17</v>
      </c>
      <c r="K2" s="7">
        <v>29</v>
      </c>
      <c r="L2" s="7">
        <v>-15</v>
      </c>
      <c r="M2" s="7">
        <v>21</v>
      </c>
      <c r="N2" s="7">
        <v>30</v>
      </c>
      <c r="O2" s="7">
        <v>11</v>
      </c>
      <c r="P2" s="7">
        <v>29</v>
      </c>
      <c r="Q2" s="7">
        <v>46</v>
      </c>
      <c r="R2" s="7">
        <v>45</v>
      </c>
      <c r="S2" s="7">
        <v>27</v>
      </c>
      <c r="T2" s="7">
        <v>48</v>
      </c>
      <c r="U2" s="7">
        <v>26</v>
      </c>
      <c r="V2" s="7">
        <v>63</v>
      </c>
      <c r="W2" s="7">
        <v>56</v>
      </c>
      <c r="X2" s="7">
        <v>55</v>
      </c>
      <c r="Y2" s="7">
        <v>46</v>
      </c>
      <c r="Z2" s="7"/>
    </row>
    <row r="3" spans="1:26">
      <c r="A3" s="7" t="s">
        <v>57</v>
      </c>
      <c r="B3" s="7">
        <v>59</v>
      </c>
      <c r="C3" s="7">
        <v>41</v>
      </c>
      <c r="D3" s="7">
        <v>27</v>
      </c>
      <c r="E3" s="7">
        <v>32</v>
      </c>
      <c r="F3" s="7">
        <v>36</v>
      </c>
      <c r="G3" s="7">
        <v>55</v>
      </c>
      <c r="H3" s="7">
        <v>31</v>
      </c>
      <c r="I3" s="7">
        <v>45</v>
      </c>
      <c r="J3" s="7">
        <v>28</v>
      </c>
      <c r="K3" s="7">
        <v>-2</v>
      </c>
      <c r="L3" s="7">
        <v>36</v>
      </c>
      <c r="M3" s="7">
        <v>37</v>
      </c>
      <c r="N3" s="7">
        <v>39</v>
      </c>
      <c r="O3" s="7">
        <v>36</v>
      </c>
      <c r="P3" s="7">
        <v>-5</v>
      </c>
      <c r="Q3" s="7">
        <v>37</v>
      </c>
      <c r="R3" s="7">
        <v>12</v>
      </c>
      <c r="S3" s="7">
        <v>25</v>
      </c>
      <c r="T3" s="7">
        <v>9</v>
      </c>
      <c r="U3" s="7">
        <v>36</v>
      </c>
      <c r="V3" s="7">
        <v>49</v>
      </c>
      <c r="W3" s="7">
        <v>-10</v>
      </c>
      <c r="X3" s="7">
        <v>25</v>
      </c>
      <c r="Y3" s="7">
        <v>29</v>
      </c>
      <c r="Z3" s="7"/>
    </row>
    <row r="4" spans="1:26">
      <c r="A4" s="7" t="s">
        <v>58</v>
      </c>
      <c r="B4" s="7">
        <v>10</v>
      </c>
      <c r="C4" s="7">
        <v>45</v>
      </c>
      <c r="D4" s="7">
        <v>24</v>
      </c>
      <c r="E4" s="7">
        <v>45</v>
      </c>
      <c r="F4" s="7">
        <v>38</v>
      </c>
      <c r="G4" s="7">
        <v>58</v>
      </c>
      <c r="H4" s="7">
        <v>31</v>
      </c>
      <c r="I4" s="7">
        <v>23</v>
      </c>
      <c r="J4" s="7">
        <v>45</v>
      </c>
      <c r="K4" s="7">
        <v>22</v>
      </c>
      <c r="L4" s="7">
        <v>39</v>
      </c>
      <c r="M4" s="7">
        <v>38</v>
      </c>
      <c r="N4" s="7">
        <v>42</v>
      </c>
      <c r="O4" s="7">
        <v>29</v>
      </c>
      <c r="P4" s="7">
        <v>45</v>
      </c>
      <c r="Q4" s="7">
        <v>25</v>
      </c>
      <c r="R4" s="7">
        <v>-16</v>
      </c>
      <c r="S4" s="7">
        <v>19</v>
      </c>
      <c r="T4" s="7">
        <v>-2</v>
      </c>
      <c r="U4" s="7">
        <v>25</v>
      </c>
      <c r="V4" s="7">
        <v>-1</v>
      </c>
      <c r="W4" s="7">
        <v>-14</v>
      </c>
      <c r="X4" s="7">
        <v>46</v>
      </c>
      <c r="Y4" s="7">
        <v>28</v>
      </c>
      <c r="Z4" s="7"/>
    </row>
    <row r="5" spans="1:26">
      <c r="A5" s="7" t="s">
        <v>59</v>
      </c>
      <c r="B5" s="7">
        <v>25</v>
      </c>
      <c r="C5" s="7">
        <v>35</v>
      </c>
      <c r="D5" s="7">
        <v>18</v>
      </c>
      <c r="E5" s="7">
        <v>31</v>
      </c>
      <c r="F5" s="7">
        <v>16</v>
      </c>
      <c r="G5" s="7">
        <v>30</v>
      </c>
      <c r="H5" s="7">
        <v>15</v>
      </c>
      <c r="I5" s="7">
        <v>3</v>
      </c>
      <c r="J5" s="7">
        <v>21</v>
      </c>
      <c r="K5" s="7">
        <v>47</v>
      </c>
      <c r="L5" s="7">
        <v>22</v>
      </c>
      <c r="M5" s="7">
        <v>8</v>
      </c>
      <c r="N5" s="7">
        <v>19</v>
      </c>
      <c r="O5" s="7">
        <v>37</v>
      </c>
      <c r="P5" s="7">
        <v>19</v>
      </c>
      <c r="Q5" s="7">
        <v>19</v>
      </c>
      <c r="R5" s="7">
        <v>30</v>
      </c>
      <c r="S5" s="7">
        <v>35</v>
      </c>
      <c r="T5" s="7">
        <v>24</v>
      </c>
      <c r="U5" s="7">
        <v>23</v>
      </c>
      <c r="V5" s="7">
        <v>31</v>
      </c>
      <c r="W5" s="7">
        <v>30</v>
      </c>
      <c r="X5" s="7">
        <v>22</v>
      </c>
      <c r="Y5" s="7">
        <v>20</v>
      </c>
      <c r="Z5" s="7"/>
    </row>
    <row r="6" spans="1:26">
      <c r="A6" s="7" t="s">
        <v>60</v>
      </c>
      <c r="B6" s="7">
        <v>12</v>
      </c>
      <c r="C6" s="7">
        <v>-12</v>
      </c>
      <c r="D6" s="7">
        <v>20</v>
      </c>
      <c r="E6" s="7">
        <v>20</v>
      </c>
      <c r="F6" s="7">
        <v>25</v>
      </c>
      <c r="G6" s="7">
        <v>-8</v>
      </c>
      <c r="H6" s="7">
        <v>24</v>
      </c>
      <c r="I6" s="7">
        <v>37</v>
      </c>
      <c r="J6" s="7">
        <v>27</v>
      </c>
      <c r="K6" s="7">
        <v>17</v>
      </c>
      <c r="L6" s="7">
        <v>25</v>
      </c>
      <c r="M6" s="7">
        <v>2</v>
      </c>
      <c r="N6" s="7">
        <v>30</v>
      </c>
      <c r="O6" s="7">
        <v>20</v>
      </c>
      <c r="P6" s="7">
        <v>-13</v>
      </c>
      <c r="Q6" s="7">
        <v>21</v>
      </c>
      <c r="R6" s="7">
        <v>6</v>
      </c>
      <c r="S6" s="7">
        <v>16</v>
      </c>
      <c r="T6" s="7">
        <v>48</v>
      </c>
      <c r="U6" s="7">
        <v>29</v>
      </c>
      <c r="V6" s="7">
        <v>-2</v>
      </c>
      <c r="W6" s="7">
        <v>23</v>
      </c>
      <c r="X6" s="7">
        <v>5</v>
      </c>
      <c r="Y6" s="7">
        <v>35</v>
      </c>
      <c r="Z6" s="7"/>
    </row>
    <row r="7" spans="1:26">
      <c r="A7" s="7" t="s">
        <v>61</v>
      </c>
      <c r="B7" s="7">
        <v>4</v>
      </c>
      <c r="C7" s="7">
        <v>-1</v>
      </c>
      <c r="D7" s="7">
        <v>11</v>
      </c>
      <c r="E7" s="7">
        <v>38</v>
      </c>
      <c r="F7" s="7">
        <v>14</v>
      </c>
      <c r="G7" s="7">
        <v>32</v>
      </c>
      <c r="H7" s="7">
        <v>25</v>
      </c>
      <c r="I7" s="7">
        <v>19</v>
      </c>
      <c r="J7" s="7">
        <v>14</v>
      </c>
      <c r="K7" s="7">
        <v>15</v>
      </c>
      <c r="L7" s="7">
        <v>22</v>
      </c>
      <c r="M7" s="7">
        <v>24</v>
      </c>
      <c r="N7" s="7">
        <v>40</v>
      </c>
      <c r="O7" s="7">
        <v>4</v>
      </c>
      <c r="P7" s="7">
        <v>-16</v>
      </c>
      <c r="Q7" s="7">
        <v>26</v>
      </c>
      <c r="R7" s="7">
        <v>12</v>
      </c>
      <c r="S7" s="7">
        <v>17</v>
      </c>
      <c r="T7" s="7">
        <v>32</v>
      </c>
      <c r="U7" s="7">
        <v>14</v>
      </c>
      <c r="V7" s="7">
        <v>-11</v>
      </c>
      <c r="W7" s="7">
        <v>18</v>
      </c>
      <c r="X7" s="7">
        <v>10</v>
      </c>
      <c r="Y7" s="7">
        <v>28</v>
      </c>
      <c r="Z7" s="7"/>
    </row>
    <row r="8" spans="1:26">
      <c r="A8" s="7" t="s">
        <v>62</v>
      </c>
      <c r="B8" s="7">
        <v>32</v>
      </c>
      <c r="C8" s="7">
        <v>29</v>
      </c>
      <c r="D8" s="7">
        <v>23</v>
      </c>
      <c r="E8" s="7">
        <v>14</v>
      </c>
      <c r="F8" s="7">
        <v>15</v>
      </c>
      <c r="G8" s="7">
        <v>11</v>
      </c>
      <c r="H8" s="7">
        <v>-19</v>
      </c>
      <c r="I8" s="7">
        <v>-2</v>
      </c>
      <c r="J8" s="7">
        <v>-12</v>
      </c>
      <c r="K8" s="7">
        <v>35</v>
      </c>
      <c r="L8" s="7">
        <v>-18</v>
      </c>
      <c r="M8" s="7">
        <v>-16</v>
      </c>
      <c r="N8" s="7">
        <v>21</v>
      </c>
      <c r="O8" s="7">
        <v>10</v>
      </c>
      <c r="P8" s="7">
        <v>1</v>
      </c>
      <c r="Q8" s="7">
        <v>6</v>
      </c>
      <c r="R8" s="7">
        <v>22</v>
      </c>
      <c r="S8" s="7">
        <v>17</v>
      </c>
      <c r="T8" s="7">
        <v>22</v>
      </c>
      <c r="U8" s="7">
        <v>20</v>
      </c>
      <c r="V8" s="7">
        <v>40</v>
      </c>
      <c r="W8" s="7">
        <v>32</v>
      </c>
      <c r="X8" s="7">
        <v>23</v>
      </c>
      <c r="Y8" s="7">
        <v>5</v>
      </c>
      <c r="Z8" s="7"/>
    </row>
    <row r="9" spans="1:26">
      <c r="A9" s="7" t="s">
        <v>63</v>
      </c>
      <c r="B9" s="7">
        <v>2</v>
      </c>
      <c r="C9" s="7">
        <v>20</v>
      </c>
      <c r="D9" s="7">
        <v>4</v>
      </c>
      <c r="E9" s="7">
        <v>22</v>
      </c>
      <c r="F9" s="7">
        <v>5</v>
      </c>
      <c r="G9" s="7">
        <v>-4</v>
      </c>
      <c r="H9" s="7">
        <v>4</v>
      </c>
      <c r="I9" s="7">
        <v>8</v>
      </c>
      <c r="J9" s="7">
        <v>0</v>
      </c>
      <c r="K9" s="7">
        <v>7</v>
      </c>
      <c r="L9" s="7">
        <v>14</v>
      </c>
      <c r="M9" s="7">
        <v>14</v>
      </c>
      <c r="N9" s="7">
        <v>7</v>
      </c>
      <c r="O9" s="7">
        <v>-18</v>
      </c>
      <c r="P9" s="7">
        <v>27</v>
      </c>
      <c r="Q9" s="7">
        <v>3</v>
      </c>
      <c r="R9" s="7">
        <v>6</v>
      </c>
      <c r="S9" s="7">
        <v>6</v>
      </c>
      <c r="T9" s="7">
        <v>14</v>
      </c>
      <c r="U9" s="7">
        <v>36</v>
      </c>
      <c r="V9" s="7">
        <v>30</v>
      </c>
      <c r="W9" s="7">
        <v>10</v>
      </c>
      <c r="X9" s="7">
        <v>-17</v>
      </c>
      <c r="Y9" s="7">
        <v>6</v>
      </c>
      <c r="Z9" s="7"/>
    </row>
    <row r="10" spans="1:26">
      <c r="A10" s="7" t="s">
        <v>64</v>
      </c>
      <c r="B10" s="7">
        <v>17</v>
      </c>
      <c r="C10" s="7">
        <v>11</v>
      </c>
      <c r="D10" s="7">
        <v>8</v>
      </c>
      <c r="E10" s="7">
        <v>15</v>
      </c>
      <c r="F10" s="7">
        <v>10</v>
      </c>
      <c r="G10" s="7">
        <v>19</v>
      </c>
      <c r="H10" s="7">
        <v>18</v>
      </c>
      <c r="I10" s="7">
        <v>4</v>
      </c>
      <c r="J10" s="7">
        <v>-18</v>
      </c>
      <c r="K10" s="7">
        <v>-16</v>
      </c>
      <c r="L10" s="7">
        <v>-19</v>
      </c>
      <c r="M10" s="7">
        <v>12</v>
      </c>
      <c r="N10" s="7">
        <v>14</v>
      </c>
      <c r="O10" s="7">
        <v>12</v>
      </c>
      <c r="P10" s="7">
        <v>27</v>
      </c>
      <c r="Q10" s="7">
        <v>15</v>
      </c>
      <c r="R10" s="7">
        <v>13</v>
      </c>
      <c r="S10" s="7">
        <v>6</v>
      </c>
      <c r="T10" s="7">
        <v>20</v>
      </c>
      <c r="U10" s="7">
        <v>13</v>
      </c>
      <c r="V10" s="7">
        <v>19</v>
      </c>
      <c r="W10" s="7">
        <v>-17</v>
      </c>
      <c r="X10" s="7">
        <v>5</v>
      </c>
      <c r="Y10" s="7">
        <v>10</v>
      </c>
      <c r="Z10" s="7"/>
    </row>
    <row r="11" spans="1:26">
      <c r="A11" s="7" t="s">
        <v>65</v>
      </c>
      <c r="B11" s="7">
        <v>0</v>
      </c>
      <c r="C11" s="7">
        <v>6</v>
      </c>
      <c r="D11" s="7">
        <v>13</v>
      </c>
      <c r="E11" s="7">
        <v>9</v>
      </c>
      <c r="F11" s="7">
        <v>-17</v>
      </c>
      <c r="G11" s="7">
        <v>33</v>
      </c>
      <c r="H11" s="7">
        <v>9</v>
      </c>
      <c r="I11" s="7">
        <v>-5</v>
      </c>
      <c r="J11" s="7">
        <v>11</v>
      </c>
      <c r="K11" s="7">
        <v>12</v>
      </c>
      <c r="L11" s="7">
        <v>6</v>
      </c>
      <c r="M11" s="7">
        <v>0</v>
      </c>
      <c r="N11" s="7">
        <v>0</v>
      </c>
      <c r="O11" s="7">
        <v>3</v>
      </c>
      <c r="P11" s="7">
        <v>11</v>
      </c>
      <c r="Q11" s="7">
        <v>0</v>
      </c>
      <c r="R11" s="7">
        <v>15</v>
      </c>
      <c r="S11" s="7">
        <v>4</v>
      </c>
      <c r="T11" s="7">
        <v>37</v>
      </c>
      <c r="U11" s="7">
        <v>3</v>
      </c>
      <c r="V11" s="7">
        <v>11</v>
      </c>
      <c r="W11" s="7">
        <v>9</v>
      </c>
      <c r="X11" s="7">
        <v>12</v>
      </c>
      <c r="Y11" s="7">
        <v>1</v>
      </c>
      <c r="Z11" s="7"/>
    </row>
    <row r="12" spans="1:26">
      <c r="A12" s="7" t="s">
        <v>66</v>
      </c>
      <c r="B12" s="7">
        <v>8</v>
      </c>
      <c r="C12" s="7">
        <v>24</v>
      </c>
      <c r="D12" s="7">
        <v>1</v>
      </c>
      <c r="E12" s="7">
        <v>15</v>
      </c>
      <c r="F12" s="7">
        <v>6</v>
      </c>
      <c r="G12" s="7">
        <v>7</v>
      </c>
      <c r="H12" s="7">
        <v>-18</v>
      </c>
      <c r="I12" s="7">
        <v>10</v>
      </c>
      <c r="J12" s="7">
        <v>3</v>
      </c>
      <c r="K12" s="7">
        <v>10</v>
      </c>
      <c r="L12" s="7">
        <v>20</v>
      </c>
      <c r="M12" s="7">
        <v>4</v>
      </c>
      <c r="N12" s="7">
        <v>3</v>
      </c>
      <c r="O12" s="7">
        <v>6</v>
      </c>
      <c r="P12" s="7">
        <v>15</v>
      </c>
      <c r="Q12" s="7">
        <v>1</v>
      </c>
      <c r="R12" s="7">
        <v>6</v>
      </c>
      <c r="S12" s="7">
        <v>2</v>
      </c>
      <c r="T12" s="7">
        <v>-8</v>
      </c>
      <c r="U12" s="7">
        <v>9</v>
      </c>
      <c r="V12" s="7">
        <v>17</v>
      </c>
      <c r="W12" s="7">
        <v>9</v>
      </c>
      <c r="X12" s="7">
        <v>6</v>
      </c>
      <c r="Y12" s="7">
        <v>21</v>
      </c>
      <c r="Z12" s="7"/>
    </row>
    <row r="13" spans="1:26">
      <c r="A13" s="7" t="s">
        <v>67</v>
      </c>
      <c r="B13" s="7">
        <v>20</v>
      </c>
      <c r="C13" s="7">
        <v>2</v>
      </c>
      <c r="D13" s="7">
        <v>1</v>
      </c>
      <c r="E13" s="7">
        <v>-20</v>
      </c>
      <c r="F13" s="7">
        <v>3</v>
      </c>
      <c r="G13" s="7">
        <v>9</v>
      </c>
      <c r="H13" s="7">
        <v>9</v>
      </c>
      <c r="I13" s="7">
        <v>-2</v>
      </c>
      <c r="J13" s="7">
        <v>32</v>
      </c>
      <c r="K13" s="7">
        <v>15</v>
      </c>
      <c r="L13" s="7">
        <v>20</v>
      </c>
      <c r="M13" s="7">
        <v>45</v>
      </c>
      <c r="N13" s="7">
        <v>7</v>
      </c>
      <c r="O13" s="7">
        <v>14</v>
      </c>
      <c r="P13" s="7">
        <v>8</v>
      </c>
      <c r="Q13" s="7">
        <v>-20</v>
      </c>
      <c r="R13" s="7">
        <v>4</v>
      </c>
      <c r="S13" s="7">
        <v>-8</v>
      </c>
      <c r="T13" s="7">
        <v>2</v>
      </c>
      <c r="U13" s="7">
        <v>-16</v>
      </c>
      <c r="V13" s="7">
        <v>5</v>
      </c>
      <c r="W13" s="7">
        <v>11</v>
      </c>
      <c r="X13" s="7">
        <v>-18</v>
      </c>
      <c r="Y13" s="7">
        <v>24</v>
      </c>
      <c r="Z13" s="7"/>
    </row>
    <row r="14" spans="1:26">
      <c r="A14" s="7" t="s">
        <v>68</v>
      </c>
      <c r="B14" s="7">
        <v>16</v>
      </c>
      <c r="C14" s="7">
        <v>17</v>
      </c>
      <c r="D14" s="7">
        <v>2</v>
      </c>
      <c r="E14" s="7">
        <v>7</v>
      </c>
      <c r="F14" s="7">
        <v>1</v>
      </c>
      <c r="G14" s="7">
        <v>25</v>
      </c>
      <c r="H14" s="7">
        <v>-2</v>
      </c>
      <c r="I14" s="7">
        <v>5</v>
      </c>
      <c r="J14" s="7">
        <v>-20</v>
      </c>
      <c r="K14" s="7">
        <v>2</v>
      </c>
      <c r="L14" s="7">
        <v>9</v>
      </c>
      <c r="M14" s="7">
        <v>22</v>
      </c>
      <c r="N14" s="7">
        <v>9</v>
      </c>
      <c r="O14" s="7">
        <v>13</v>
      </c>
      <c r="P14" s="7">
        <v>21</v>
      </c>
      <c r="Q14" s="7">
        <v>-1</v>
      </c>
      <c r="R14" s="7">
        <v>-2</v>
      </c>
      <c r="S14" s="7">
        <v>10</v>
      </c>
      <c r="T14" s="7">
        <v>-3</v>
      </c>
      <c r="U14" s="7">
        <v>14</v>
      </c>
      <c r="V14" s="7">
        <v>-1</v>
      </c>
      <c r="W14" s="7">
        <v>-20</v>
      </c>
      <c r="X14" s="7">
        <v>2</v>
      </c>
      <c r="Y14" s="7">
        <v>20</v>
      </c>
      <c r="Z14" s="7"/>
    </row>
    <row r="15" spans="1:26">
      <c r="A15" s="7" t="s">
        <v>69</v>
      </c>
      <c r="B15" s="7">
        <v>-19</v>
      </c>
      <c r="C15" s="7">
        <v>8</v>
      </c>
      <c r="D15" s="7">
        <v>4</v>
      </c>
      <c r="E15" s="7">
        <v>-9</v>
      </c>
      <c r="F15" s="7">
        <v>12</v>
      </c>
      <c r="G15" s="7">
        <v>0</v>
      </c>
      <c r="H15" s="7">
        <v>12</v>
      </c>
      <c r="I15" s="7">
        <v>2</v>
      </c>
      <c r="J15" s="7">
        <v>7</v>
      </c>
      <c r="K15" s="7">
        <v>13</v>
      </c>
      <c r="L15" s="7">
        <v>-20</v>
      </c>
      <c r="M15" s="7">
        <v>-1</v>
      </c>
      <c r="N15" s="7">
        <v>6</v>
      </c>
      <c r="O15" s="7">
        <v>6</v>
      </c>
      <c r="P15" s="7">
        <v>1</v>
      </c>
      <c r="Q15" s="7">
        <v>3</v>
      </c>
      <c r="R15" s="7">
        <v>33</v>
      </c>
      <c r="S15" s="7">
        <v>8</v>
      </c>
      <c r="T15" s="7">
        <v>-3</v>
      </c>
      <c r="U15" s="7">
        <v>6</v>
      </c>
      <c r="V15" s="7">
        <v>15</v>
      </c>
      <c r="W15" s="7">
        <v>16</v>
      </c>
      <c r="X15" s="7">
        <v>27</v>
      </c>
      <c r="Y15" s="7">
        <v>3</v>
      </c>
      <c r="Z15" s="7"/>
    </row>
    <row r="16" spans="1:26">
      <c r="A16" s="7" t="s">
        <v>70</v>
      </c>
      <c r="B16" s="7">
        <v>-20</v>
      </c>
      <c r="C16" s="7">
        <v>11</v>
      </c>
      <c r="D16" s="7">
        <v>8</v>
      </c>
      <c r="E16" s="7">
        <v>5</v>
      </c>
      <c r="F16" s="7">
        <v>8</v>
      </c>
      <c r="G16" s="7">
        <v>0</v>
      </c>
      <c r="H16" s="7">
        <v>6</v>
      </c>
      <c r="I16" s="7">
        <v>12</v>
      </c>
      <c r="J16" s="7">
        <v>16</v>
      </c>
      <c r="K16" s="7">
        <v>1</v>
      </c>
      <c r="L16" s="7">
        <v>6</v>
      </c>
      <c r="M16" s="7">
        <v>-20</v>
      </c>
      <c r="N16" s="7">
        <v>-7</v>
      </c>
      <c r="O16" s="7">
        <v>4</v>
      </c>
      <c r="P16" s="7">
        <v>33</v>
      </c>
      <c r="Q16" s="7">
        <v>12</v>
      </c>
      <c r="R16" s="7">
        <v>4</v>
      </c>
      <c r="S16" s="7">
        <v>3</v>
      </c>
      <c r="T16" s="7">
        <v>3</v>
      </c>
      <c r="U16" s="7">
        <v>-2</v>
      </c>
      <c r="V16" s="7">
        <v>13</v>
      </c>
      <c r="W16" s="7">
        <v>16</v>
      </c>
      <c r="X16" s="7">
        <v>1</v>
      </c>
      <c r="Y16" s="7">
        <v>-2</v>
      </c>
      <c r="Z16" s="7"/>
    </row>
    <row r="17" spans="1:26">
      <c r="A17" s="7" t="s">
        <v>71</v>
      </c>
      <c r="B17" s="7">
        <v>-17</v>
      </c>
      <c r="C17" s="7">
        <v>22</v>
      </c>
      <c r="D17" s="7">
        <v>-4</v>
      </c>
      <c r="E17" s="7">
        <v>11</v>
      </c>
      <c r="F17" s="7">
        <v>5</v>
      </c>
      <c r="G17" s="7">
        <v>-14</v>
      </c>
      <c r="H17" s="7">
        <v>3</v>
      </c>
      <c r="I17" s="7">
        <v>7</v>
      </c>
      <c r="J17" s="7">
        <v>9</v>
      </c>
      <c r="K17" s="7">
        <v>-20</v>
      </c>
      <c r="L17" s="7">
        <v>13</v>
      </c>
      <c r="M17" s="7">
        <v>-18</v>
      </c>
      <c r="N17" s="7">
        <v>9</v>
      </c>
      <c r="O17" s="7">
        <v>10</v>
      </c>
      <c r="P17" s="7">
        <v>0</v>
      </c>
      <c r="Q17" s="7">
        <v>6</v>
      </c>
      <c r="R17" s="7">
        <v>17</v>
      </c>
      <c r="S17" s="7">
        <v>3</v>
      </c>
      <c r="T17" s="7">
        <v>15</v>
      </c>
      <c r="U17" s="7">
        <v>-18</v>
      </c>
      <c r="V17" s="7">
        <v>14</v>
      </c>
      <c r="W17" s="7">
        <v>-1</v>
      </c>
      <c r="X17" s="7">
        <v>11</v>
      </c>
      <c r="Y17" s="7">
        <v>1</v>
      </c>
      <c r="Z17" s="7"/>
    </row>
    <row r="18" spans="1:26">
      <c r="A18" s="7" t="s">
        <v>72</v>
      </c>
      <c r="B18" s="7">
        <v>1</v>
      </c>
      <c r="C18" s="7">
        <v>-8</v>
      </c>
      <c r="D18" s="7">
        <v>0</v>
      </c>
      <c r="E18" s="7">
        <v>13</v>
      </c>
      <c r="F18" s="7">
        <v>-17</v>
      </c>
      <c r="G18" s="7">
        <v>18</v>
      </c>
      <c r="H18" s="7">
        <v>3</v>
      </c>
      <c r="I18" s="7">
        <v>-20</v>
      </c>
      <c r="J18" s="7">
        <v>10</v>
      </c>
      <c r="K18" s="7">
        <v>6</v>
      </c>
      <c r="L18" s="7">
        <v>2</v>
      </c>
      <c r="M18" s="7">
        <v>15</v>
      </c>
      <c r="N18" s="7">
        <v>-14</v>
      </c>
      <c r="O18" s="7">
        <v>0</v>
      </c>
      <c r="P18" s="7">
        <v>0</v>
      </c>
      <c r="Q18" s="7">
        <v>5</v>
      </c>
      <c r="R18" s="7">
        <v>5</v>
      </c>
      <c r="S18" s="7">
        <v>2</v>
      </c>
      <c r="T18" s="7">
        <v>3</v>
      </c>
      <c r="U18" s="7">
        <v>9</v>
      </c>
      <c r="V18" s="7">
        <v>21</v>
      </c>
      <c r="W18" s="7">
        <v>-2</v>
      </c>
      <c r="X18" s="7">
        <v>3</v>
      </c>
      <c r="Y18" s="7">
        <v>3</v>
      </c>
      <c r="Z18" s="7"/>
    </row>
    <row r="19" spans="1:26">
      <c r="A19" s="7" t="s">
        <v>73</v>
      </c>
      <c r="B19" s="7">
        <v>-20</v>
      </c>
      <c r="C19" s="7">
        <v>-16</v>
      </c>
      <c r="D19" s="7">
        <v>4</v>
      </c>
      <c r="E19" s="7">
        <v>5</v>
      </c>
      <c r="F19" s="7">
        <v>7</v>
      </c>
      <c r="G19" s="7">
        <v>-13</v>
      </c>
      <c r="H19" s="7">
        <v>4</v>
      </c>
      <c r="I19" s="7">
        <v>-16</v>
      </c>
      <c r="J19" s="7">
        <v>14</v>
      </c>
      <c r="K19" s="7">
        <v>22</v>
      </c>
      <c r="L19" s="7">
        <v>12</v>
      </c>
      <c r="M19" s="7">
        <v>4</v>
      </c>
      <c r="N19" s="7">
        <v>7</v>
      </c>
      <c r="O19" s="7">
        <v>17</v>
      </c>
      <c r="P19" s="7">
        <v>13</v>
      </c>
      <c r="Q19" s="7">
        <v>-15</v>
      </c>
      <c r="R19" s="7">
        <v>-3</v>
      </c>
      <c r="S19" s="7">
        <v>30</v>
      </c>
      <c r="T19" s="7">
        <v>-16</v>
      </c>
      <c r="U19" s="7">
        <v>-15</v>
      </c>
      <c r="V19" s="7">
        <v>2</v>
      </c>
      <c r="W19" s="7">
        <v>2</v>
      </c>
      <c r="X19" s="7">
        <v>12</v>
      </c>
      <c r="Y19" s="7">
        <v>17</v>
      </c>
      <c r="Z19" s="7"/>
    </row>
    <row r="20" spans="1:26">
      <c r="A20" s="7" t="s">
        <v>74</v>
      </c>
      <c r="B20" s="7">
        <v>-18</v>
      </c>
      <c r="C20" s="7">
        <v>7</v>
      </c>
      <c r="D20" s="7">
        <v>-2</v>
      </c>
      <c r="E20" s="7">
        <v>4</v>
      </c>
      <c r="F20" s="7">
        <v>3</v>
      </c>
      <c r="G20" s="7">
        <v>-11</v>
      </c>
      <c r="H20" s="7">
        <v>-2</v>
      </c>
      <c r="I20" s="7">
        <v>3</v>
      </c>
      <c r="J20" s="7">
        <v>4</v>
      </c>
      <c r="K20" s="7">
        <v>5</v>
      </c>
      <c r="L20" s="7">
        <v>25</v>
      </c>
      <c r="M20" s="7">
        <v>-20</v>
      </c>
      <c r="N20" s="7">
        <v>7</v>
      </c>
      <c r="O20" s="7">
        <v>24</v>
      </c>
      <c r="P20" s="7">
        <v>0</v>
      </c>
      <c r="Q20" s="7">
        <v>13</v>
      </c>
      <c r="R20" s="7">
        <v>7</v>
      </c>
      <c r="S20" s="7">
        <v>-1</v>
      </c>
      <c r="T20" s="7">
        <v>17</v>
      </c>
      <c r="U20" s="7">
        <v>12</v>
      </c>
      <c r="V20" s="7">
        <v>-24</v>
      </c>
      <c r="W20" s="7">
        <v>-20</v>
      </c>
      <c r="X20" s="7">
        <v>14</v>
      </c>
      <c r="Y20" s="7">
        <v>6</v>
      </c>
      <c r="Z20" s="7"/>
    </row>
    <row r="21" spans="1:26">
      <c r="A21" s="7" t="s">
        <v>75</v>
      </c>
      <c r="B21" s="6"/>
      <c r="C21" s="6"/>
      <c r="D21" s="6"/>
      <c r="E21" s="6"/>
      <c r="F21" s="6"/>
      <c r="G21" s="6"/>
      <c r="H21" s="7">
        <v>0</v>
      </c>
      <c r="I21" s="7">
        <v>5</v>
      </c>
      <c r="J21" s="7">
        <v>6</v>
      </c>
      <c r="K21" s="7">
        <v>2</v>
      </c>
      <c r="L21" s="7">
        <v>5</v>
      </c>
      <c r="M21" s="7">
        <v>-20</v>
      </c>
      <c r="N21" s="7">
        <v>-2</v>
      </c>
      <c r="O21" s="7">
        <v>-4</v>
      </c>
      <c r="P21" s="7">
        <v>11</v>
      </c>
      <c r="Q21" s="7">
        <v>0</v>
      </c>
      <c r="R21" s="7">
        <v>1</v>
      </c>
      <c r="S21" s="7">
        <v>3</v>
      </c>
      <c r="T21" s="7">
        <v>7</v>
      </c>
      <c r="U21" s="7">
        <v>4</v>
      </c>
      <c r="V21" s="7">
        <v>-16</v>
      </c>
      <c r="W21" s="7">
        <v>0</v>
      </c>
      <c r="X21" s="7">
        <v>6</v>
      </c>
      <c r="Y21" s="7">
        <v>0</v>
      </c>
      <c r="Z21" s="7"/>
    </row>
    <row r="22" spans="1:26">
      <c r="A22" s="7" t="s">
        <v>76</v>
      </c>
      <c r="B22" s="7">
        <v>-20</v>
      </c>
      <c r="C22" s="7">
        <v>11</v>
      </c>
      <c r="D22" s="7">
        <v>6</v>
      </c>
      <c r="E22" s="7">
        <v>2</v>
      </c>
      <c r="F22" s="7">
        <v>1</v>
      </c>
      <c r="G22" s="7">
        <v>-14</v>
      </c>
      <c r="H22" s="6"/>
      <c r="I22" s="6"/>
      <c r="J22" s="6"/>
      <c r="K22" s="6"/>
      <c r="L22" s="6"/>
      <c r="M22" s="6"/>
      <c r="N22" s="6"/>
      <c r="O22" s="6"/>
      <c r="P22" s="6"/>
      <c r="Q22" s="6"/>
      <c r="R22" s="6"/>
      <c r="S22" s="6"/>
      <c r="T22" s="6"/>
      <c r="U22" s="6"/>
      <c r="V22" s="6"/>
      <c r="W22" s="6"/>
      <c r="X22" s="6"/>
      <c r="Y22" s="6"/>
      <c r="Z22" s="7"/>
    </row>
    <row r="23" spans="1:26">
      <c r="A23" s="7"/>
      <c r="B23" s="7"/>
      <c r="C23" s="7"/>
      <c r="D23" s="7"/>
      <c r="E23" s="7"/>
      <c r="F23" s="7"/>
      <c r="G23" s="7"/>
      <c r="H23" s="7"/>
      <c r="I23" s="7"/>
      <c r="J23" s="7"/>
      <c r="K23" s="7"/>
      <c r="L23" s="7"/>
      <c r="M23" s="7"/>
      <c r="N23" s="7"/>
      <c r="O23" s="7"/>
      <c r="P23" s="7"/>
      <c r="Q23" s="7"/>
      <c r="R23" s="7"/>
      <c r="S23" s="7"/>
      <c r="T23" s="7"/>
      <c r="U23" s="7"/>
      <c r="V23" s="7"/>
      <c r="W23" s="7"/>
      <c r="X23" s="7"/>
      <c r="Y23" s="7"/>
      <c r="Z23" s="6"/>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7"/>
  </sheetPr>
  <dimension ref="A1:Z12"/>
  <sheetViews>
    <sheetView workbookViewId="0">
      <selection activeCell="B1" sqref="B1:Y1"/>
    </sheetView>
  </sheetViews>
  <sheetFormatPr baseColWidth="10" defaultRowHeight="16"/>
  <sheetData>
    <row r="1" spans="1:26">
      <c r="B1">
        <v>1</v>
      </c>
      <c r="C1">
        <v>2</v>
      </c>
      <c r="D1">
        <v>3</v>
      </c>
      <c r="E1">
        <v>4</v>
      </c>
      <c r="F1">
        <v>5</v>
      </c>
      <c r="G1">
        <v>6</v>
      </c>
      <c r="H1">
        <v>7</v>
      </c>
      <c r="I1">
        <v>8</v>
      </c>
      <c r="J1">
        <v>9</v>
      </c>
      <c r="K1">
        <v>10</v>
      </c>
      <c r="L1">
        <v>11</v>
      </c>
      <c r="M1">
        <v>12</v>
      </c>
      <c r="N1">
        <v>13</v>
      </c>
      <c r="O1">
        <v>14</v>
      </c>
      <c r="P1">
        <v>15</v>
      </c>
      <c r="Q1">
        <v>16</v>
      </c>
      <c r="R1">
        <v>17</v>
      </c>
      <c r="S1">
        <v>18</v>
      </c>
      <c r="T1">
        <v>19</v>
      </c>
      <c r="U1">
        <v>20</v>
      </c>
      <c r="V1">
        <v>21</v>
      </c>
      <c r="W1">
        <v>22</v>
      </c>
      <c r="X1">
        <v>23</v>
      </c>
      <c r="Y1">
        <v>24</v>
      </c>
    </row>
    <row r="2" spans="1:26">
      <c r="A2" s="7" t="s">
        <v>79</v>
      </c>
      <c r="B2" s="7">
        <v>71</v>
      </c>
      <c r="C2" s="7">
        <v>101</v>
      </c>
      <c r="D2" s="7">
        <v>71</v>
      </c>
      <c r="E2" s="7">
        <v>92</v>
      </c>
      <c r="F2" s="7">
        <v>86</v>
      </c>
      <c r="G2" s="7">
        <v>118</v>
      </c>
      <c r="H2" s="7">
        <v>82</v>
      </c>
      <c r="I2" s="7">
        <v>83</v>
      </c>
      <c r="J2" s="7">
        <v>88</v>
      </c>
      <c r="K2" s="7">
        <v>40</v>
      </c>
      <c r="L2" s="7">
        <v>100</v>
      </c>
      <c r="M2" s="7">
        <v>90</v>
      </c>
      <c r="N2" s="7">
        <v>93</v>
      </c>
      <c r="O2" s="7">
        <v>100</v>
      </c>
      <c r="P2" s="7">
        <v>52</v>
      </c>
      <c r="Q2" s="7">
        <v>97</v>
      </c>
      <c r="R2" s="7">
        <v>6</v>
      </c>
      <c r="S2" s="7">
        <v>64</v>
      </c>
      <c r="T2" s="7">
        <v>22</v>
      </c>
      <c r="U2" s="7">
        <v>86</v>
      </c>
      <c r="V2" s="7">
        <v>63</v>
      </c>
      <c r="W2" s="7">
        <v>-34</v>
      </c>
      <c r="X2" s="7">
        <v>96</v>
      </c>
      <c r="Y2" s="7">
        <v>77</v>
      </c>
      <c r="Z2" s="7"/>
    </row>
    <row r="3" spans="1:26">
      <c r="A3" s="7" t="s">
        <v>80</v>
      </c>
      <c r="B3" s="7">
        <v>19</v>
      </c>
      <c r="C3" s="7">
        <v>67</v>
      </c>
      <c r="D3" s="7">
        <v>46</v>
      </c>
      <c r="E3" s="7">
        <v>46</v>
      </c>
      <c r="F3" s="7">
        <v>21</v>
      </c>
      <c r="G3" s="7">
        <v>60</v>
      </c>
      <c r="H3" s="7">
        <v>71</v>
      </c>
      <c r="I3" s="7">
        <v>23</v>
      </c>
      <c r="J3" s="7">
        <v>28</v>
      </c>
      <c r="K3" s="7">
        <v>51</v>
      </c>
      <c r="L3" s="7">
        <v>1</v>
      </c>
      <c r="M3" s="7">
        <v>41</v>
      </c>
      <c r="N3" s="7">
        <v>55</v>
      </c>
      <c r="O3" s="7">
        <v>39</v>
      </c>
      <c r="P3" s="7">
        <v>47</v>
      </c>
      <c r="Q3" s="7">
        <v>56</v>
      </c>
      <c r="R3" s="7">
        <v>85</v>
      </c>
      <c r="S3" s="7">
        <v>51</v>
      </c>
      <c r="T3" s="7">
        <v>92</v>
      </c>
      <c r="U3" s="7">
        <v>36</v>
      </c>
      <c r="V3" s="7">
        <v>88</v>
      </c>
      <c r="W3" s="7">
        <v>85</v>
      </c>
      <c r="X3" s="7">
        <v>67</v>
      </c>
      <c r="Y3" s="7">
        <v>52</v>
      </c>
      <c r="Z3" s="7"/>
    </row>
    <row r="4" spans="1:26">
      <c r="A4" s="7" t="s">
        <v>81</v>
      </c>
      <c r="B4" s="7">
        <v>67</v>
      </c>
      <c r="C4" s="7">
        <v>69</v>
      </c>
      <c r="D4" s="7">
        <v>56</v>
      </c>
      <c r="E4" s="7">
        <v>60</v>
      </c>
      <c r="F4" s="7">
        <v>46</v>
      </c>
      <c r="G4" s="7">
        <v>51</v>
      </c>
      <c r="H4" s="7">
        <v>6</v>
      </c>
      <c r="I4" s="7">
        <v>9</v>
      </c>
      <c r="J4" s="7">
        <v>24</v>
      </c>
      <c r="K4" s="7">
        <v>87</v>
      </c>
      <c r="L4" s="7">
        <v>19</v>
      </c>
      <c r="M4" s="7">
        <v>7</v>
      </c>
      <c r="N4" s="7">
        <v>50</v>
      </c>
      <c r="O4" s="7">
        <v>54</v>
      </c>
      <c r="P4" s="7">
        <v>30</v>
      </c>
      <c r="Q4" s="7">
        <v>37</v>
      </c>
      <c r="R4" s="7">
        <v>67</v>
      </c>
      <c r="S4" s="7">
        <v>67</v>
      </c>
      <c r="T4" s="7">
        <v>61</v>
      </c>
      <c r="U4" s="7">
        <v>58</v>
      </c>
      <c r="V4" s="7">
        <v>91</v>
      </c>
      <c r="W4" s="7">
        <v>77</v>
      </c>
      <c r="X4" s="7">
        <v>57</v>
      </c>
      <c r="Y4" s="7">
        <v>35</v>
      </c>
      <c r="Z4" s="7"/>
    </row>
    <row r="5" spans="1:26">
      <c r="A5" s="7" t="s">
        <v>82</v>
      </c>
      <c r="B5" s="7">
        <v>36</v>
      </c>
      <c r="C5" s="7">
        <v>-23</v>
      </c>
      <c r="D5" s="7">
        <v>56</v>
      </c>
      <c r="E5" s="7">
        <v>73</v>
      </c>
      <c r="F5" s="7">
        <v>64</v>
      </c>
      <c r="G5" s="7">
        <v>34</v>
      </c>
      <c r="H5" s="7">
        <v>67</v>
      </c>
      <c r="I5" s="7">
        <v>71</v>
      </c>
      <c r="J5" s="7">
        <v>61</v>
      </c>
      <c r="K5" s="7">
        <v>57</v>
      </c>
      <c r="L5" s="7">
        <v>67</v>
      </c>
      <c r="M5" s="7">
        <v>41</v>
      </c>
      <c r="N5" s="7">
        <v>70</v>
      </c>
      <c r="O5" s="7">
        <v>39</v>
      </c>
      <c r="P5" s="7">
        <v>-4</v>
      </c>
      <c r="Q5" s="7">
        <v>67</v>
      </c>
      <c r="R5" s="7">
        <v>28</v>
      </c>
      <c r="S5" s="7">
        <v>48</v>
      </c>
      <c r="T5" s="7">
        <v>85</v>
      </c>
      <c r="U5" s="7">
        <v>58</v>
      </c>
      <c r="V5" s="7">
        <v>-3</v>
      </c>
      <c r="W5" s="7">
        <v>48</v>
      </c>
      <c r="X5" s="7">
        <v>22</v>
      </c>
      <c r="Y5" s="7">
        <v>83</v>
      </c>
      <c r="Z5" s="7"/>
    </row>
    <row r="6" spans="1:26">
      <c r="A6" s="7" t="s">
        <v>83</v>
      </c>
      <c r="B6" s="7">
        <v>10</v>
      </c>
      <c r="C6" s="7">
        <v>26</v>
      </c>
      <c r="D6" s="7">
        <v>19</v>
      </c>
      <c r="E6" s="7">
        <v>13</v>
      </c>
      <c r="F6" s="7">
        <v>27</v>
      </c>
      <c r="G6" s="7">
        <v>31</v>
      </c>
      <c r="H6" s="7">
        <v>42</v>
      </c>
      <c r="I6" s="7">
        <v>16</v>
      </c>
      <c r="J6" s="7">
        <v>-8</v>
      </c>
      <c r="K6" s="7">
        <v>4</v>
      </c>
      <c r="L6" s="7">
        <v>-36</v>
      </c>
      <c r="M6" s="7">
        <v>16</v>
      </c>
      <c r="N6" s="7">
        <v>27</v>
      </c>
      <c r="O6" s="7">
        <v>24</v>
      </c>
      <c r="P6" s="7">
        <v>35</v>
      </c>
      <c r="Q6" s="7">
        <v>23</v>
      </c>
      <c r="R6" s="7">
        <v>46</v>
      </c>
      <c r="S6" s="7">
        <v>5</v>
      </c>
      <c r="T6" s="7">
        <v>27</v>
      </c>
      <c r="U6" s="7">
        <v>29</v>
      </c>
      <c r="V6" s="7">
        <v>42</v>
      </c>
      <c r="W6" s="7">
        <v>9</v>
      </c>
      <c r="X6" s="7">
        <v>39</v>
      </c>
      <c r="Y6" s="7">
        <v>24</v>
      </c>
      <c r="Z6" s="7"/>
    </row>
    <row r="7" spans="1:26">
      <c r="A7" s="7" t="s">
        <v>84</v>
      </c>
      <c r="B7" s="7">
        <v>14</v>
      </c>
      <c r="C7" s="7">
        <v>47</v>
      </c>
      <c r="D7" s="7">
        <v>10</v>
      </c>
      <c r="E7" s="7">
        <v>40</v>
      </c>
      <c r="F7" s="7">
        <v>12</v>
      </c>
      <c r="G7" s="7">
        <v>8</v>
      </c>
      <c r="H7" s="7">
        <v>-13</v>
      </c>
      <c r="I7" s="7">
        <v>25</v>
      </c>
      <c r="J7" s="7">
        <v>6</v>
      </c>
      <c r="K7" s="7">
        <v>22</v>
      </c>
      <c r="L7" s="7">
        <v>37</v>
      </c>
      <c r="M7" s="7">
        <v>25</v>
      </c>
      <c r="N7" s="7">
        <v>15</v>
      </c>
      <c r="O7" s="7">
        <v>-9</v>
      </c>
      <c r="P7" s="7">
        <v>43</v>
      </c>
      <c r="Q7" s="7">
        <v>7</v>
      </c>
      <c r="R7" s="7">
        <v>13</v>
      </c>
      <c r="S7" s="7">
        <v>15</v>
      </c>
      <c r="T7" s="7">
        <v>13</v>
      </c>
      <c r="U7" s="7">
        <v>45</v>
      </c>
      <c r="V7" s="7">
        <v>54</v>
      </c>
      <c r="W7" s="7">
        <v>24</v>
      </c>
      <c r="X7" s="7">
        <v>-5</v>
      </c>
      <c r="Y7" s="7">
        <v>34</v>
      </c>
      <c r="Z7" s="7"/>
    </row>
    <row r="8" spans="1:26">
      <c r="A8" s="7" t="s">
        <v>85</v>
      </c>
      <c r="B8" s="7">
        <v>-10</v>
      </c>
      <c r="C8" s="7">
        <v>42</v>
      </c>
      <c r="D8" s="7">
        <v>14</v>
      </c>
      <c r="E8" s="7">
        <v>22</v>
      </c>
      <c r="F8" s="7">
        <v>18</v>
      </c>
      <c r="G8" s="7">
        <v>-6</v>
      </c>
      <c r="H8" s="7">
        <v>24</v>
      </c>
      <c r="I8" s="7">
        <v>31</v>
      </c>
      <c r="J8" s="7">
        <v>35</v>
      </c>
      <c r="K8" s="7">
        <v>-4</v>
      </c>
      <c r="L8" s="7">
        <v>34</v>
      </c>
      <c r="M8" s="7">
        <v>-35</v>
      </c>
      <c r="N8" s="7">
        <v>17</v>
      </c>
      <c r="O8" s="7">
        <v>29</v>
      </c>
      <c r="P8" s="7">
        <v>38</v>
      </c>
      <c r="Q8" s="7">
        <v>27</v>
      </c>
      <c r="R8" s="7">
        <v>41</v>
      </c>
      <c r="S8" s="7">
        <v>16</v>
      </c>
      <c r="T8" s="7">
        <v>34</v>
      </c>
      <c r="U8" s="7">
        <v>-10</v>
      </c>
      <c r="V8" s="7">
        <v>47</v>
      </c>
      <c r="W8" s="7">
        <v>30</v>
      </c>
      <c r="X8" s="7">
        <v>22</v>
      </c>
      <c r="Y8" s="7">
        <v>6</v>
      </c>
      <c r="Z8" s="7"/>
    </row>
    <row r="9" spans="1:26">
      <c r="A9" s="7" t="s">
        <v>86</v>
      </c>
      <c r="B9" s="7">
        <v>1</v>
      </c>
      <c r="C9" s="7">
        <v>4</v>
      </c>
      <c r="D9" s="7">
        <v>9</v>
      </c>
      <c r="E9" s="7">
        <v>18</v>
      </c>
      <c r="F9" s="7">
        <v>11</v>
      </c>
      <c r="G9" s="7">
        <v>13</v>
      </c>
      <c r="H9" s="7">
        <v>14</v>
      </c>
      <c r="I9" s="7">
        <v>-4</v>
      </c>
      <c r="J9" s="7">
        <v>1</v>
      </c>
      <c r="K9" s="7">
        <v>31</v>
      </c>
      <c r="L9" s="7">
        <v>24</v>
      </c>
      <c r="M9" s="7">
        <v>33</v>
      </c>
      <c r="N9" s="7">
        <v>20</v>
      </c>
      <c r="O9" s="7">
        <v>45</v>
      </c>
      <c r="P9" s="7">
        <v>41</v>
      </c>
      <c r="Q9" s="7">
        <v>-11</v>
      </c>
      <c r="R9" s="7">
        <v>-2</v>
      </c>
      <c r="S9" s="7">
        <v>37</v>
      </c>
      <c r="T9" s="7">
        <v>-12</v>
      </c>
      <c r="U9" s="7">
        <v>2</v>
      </c>
      <c r="V9" s="7">
        <v>9</v>
      </c>
      <c r="W9" s="7">
        <v>-8</v>
      </c>
      <c r="X9" s="7">
        <v>21</v>
      </c>
      <c r="Y9" s="7">
        <v>47</v>
      </c>
      <c r="Z9" s="7"/>
    </row>
    <row r="10" spans="1:26">
      <c r="A10" s="7" t="s">
        <v>87</v>
      </c>
      <c r="B10" s="7">
        <v>3</v>
      </c>
      <c r="C10" s="7">
        <v>12</v>
      </c>
      <c r="D10" s="7">
        <v>0</v>
      </c>
      <c r="E10" s="7">
        <v>-22</v>
      </c>
      <c r="F10" s="7">
        <v>10</v>
      </c>
      <c r="G10" s="7">
        <v>9</v>
      </c>
      <c r="H10" s="7">
        <v>13</v>
      </c>
      <c r="I10" s="7">
        <v>7</v>
      </c>
      <c r="J10" s="7">
        <v>52</v>
      </c>
      <c r="K10" s="7">
        <v>26</v>
      </c>
      <c r="L10" s="7">
        <v>45</v>
      </c>
      <c r="M10" s="7">
        <v>14</v>
      </c>
      <c r="N10" s="7">
        <v>24</v>
      </c>
      <c r="O10" s="7">
        <v>35</v>
      </c>
      <c r="P10" s="7">
        <v>14</v>
      </c>
      <c r="Q10" s="7">
        <v>-2</v>
      </c>
      <c r="R10" s="7">
        <v>17</v>
      </c>
      <c r="S10" s="7">
        <v>-4</v>
      </c>
      <c r="T10" s="7">
        <v>25</v>
      </c>
      <c r="U10" s="7">
        <v>2</v>
      </c>
      <c r="V10" s="7">
        <v>-9</v>
      </c>
      <c r="W10" s="7">
        <v>-8</v>
      </c>
      <c r="X10" s="7">
        <v>4</v>
      </c>
      <c r="Y10" s="7">
        <v>40</v>
      </c>
      <c r="Z10" s="7"/>
    </row>
    <row r="11" spans="1:26">
      <c r="A11" s="7" t="s">
        <v>88</v>
      </c>
      <c r="B11" s="7">
        <v>-14</v>
      </c>
      <c r="C11" s="7">
        <v>-6</v>
      </c>
      <c r="D11" s="7">
        <v>9</v>
      </c>
      <c r="E11" s="7">
        <v>22</v>
      </c>
      <c r="F11" s="7">
        <v>-6</v>
      </c>
      <c r="G11" s="7">
        <v>10</v>
      </c>
      <c r="H11" s="7">
        <v>10</v>
      </c>
      <c r="I11" s="7">
        <v>-11</v>
      </c>
      <c r="J11" s="7">
        <v>31</v>
      </c>
      <c r="K11" s="7">
        <v>11</v>
      </c>
      <c r="L11" s="7">
        <v>17</v>
      </c>
      <c r="M11" s="7">
        <v>5</v>
      </c>
      <c r="N11" s="7">
        <v>-13</v>
      </c>
      <c r="O11" s="7">
        <v>2</v>
      </c>
      <c r="P11" s="7">
        <v>14</v>
      </c>
      <c r="Q11" s="7">
        <v>6</v>
      </c>
      <c r="R11" s="7">
        <v>7</v>
      </c>
      <c r="S11" s="7">
        <v>6</v>
      </c>
      <c r="T11" s="7">
        <v>18</v>
      </c>
      <c r="U11" s="7">
        <v>14</v>
      </c>
      <c r="V11" s="7">
        <v>12</v>
      </c>
      <c r="W11" s="7">
        <v>3</v>
      </c>
      <c r="X11" s="7">
        <v>14</v>
      </c>
      <c r="Y11" s="7">
        <v>4</v>
      </c>
      <c r="Z11" s="7"/>
    </row>
    <row r="12" spans="1:26">
      <c r="A12" s="7"/>
      <c r="B12" s="7"/>
      <c r="C12" s="7"/>
      <c r="D12" s="7"/>
      <c r="E12" s="7"/>
      <c r="F12" s="7"/>
      <c r="G12" s="7"/>
      <c r="H12" s="7"/>
      <c r="I12" s="7"/>
      <c r="J12" s="7"/>
      <c r="K12" s="7"/>
      <c r="L12" s="7"/>
      <c r="M12" s="7"/>
      <c r="N12" s="7"/>
      <c r="O12" s="7"/>
      <c r="P12" s="7"/>
      <c r="Q12" s="7"/>
      <c r="R12" s="7"/>
      <c r="S12" s="7"/>
      <c r="T12" s="7"/>
      <c r="U12" s="7"/>
      <c r="V12" s="7"/>
      <c r="W12" s="7"/>
      <c r="X12" s="7"/>
      <c r="Y12" s="7"/>
      <c r="Z12" s="6"/>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485FFA-1F02-2149-8C98-5F19AAF888CA}">
  <dimension ref="A1:AG81"/>
  <sheetViews>
    <sheetView topLeftCell="D1" zoomScale="109" workbookViewId="0">
      <pane ySplit="2" topLeftCell="A42" activePane="bottomLeft" state="frozen"/>
      <selection pane="bottomLeft" activeCell="AA60" sqref="AA60:AA61"/>
    </sheetView>
  </sheetViews>
  <sheetFormatPr baseColWidth="10" defaultRowHeight="16"/>
  <cols>
    <col min="1" max="1" width="20.1640625" bestFit="1" customWidth="1"/>
    <col min="2" max="2" width="12.5" customWidth="1"/>
    <col min="3" max="3" width="17.6640625" customWidth="1"/>
    <col min="20" max="20" width="11.33203125" bestFit="1" customWidth="1"/>
  </cols>
  <sheetData>
    <row r="1" spans="1:33" ht="17" thickBot="1"/>
    <row r="2" spans="1:33" ht="17" thickBot="1">
      <c r="A2" s="125" t="s">
        <v>154</v>
      </c>
      <c r="B2" s="125">
        <v>1</v>
      </c>
      <c r="C2" s="126">
        <v>2</v>
      </c>
      <c r="D2" s="126">
        <v>3</v>
      </c>
      <c r="E2" s="126">
        <v>4</v>
      </c>
      <c r="F2" s="126">
        <v>5</v>
      </c>
      <c r="G2" s="126">
        <v>6</v>
      </c>
      <c r="H2" s="126">
        <v>7</v>
      </c>
      <c r="I2" s="126">
        <v>8</v>
      </c>
      <c r="J2" s="126">
        <v>9</v>
      </c>
      <c r="K2" s="126">
        <v>10</v>
      </c>
      <c r="L2" s="126">
        <v>11</v>
      </c>
      <c r="M2" s="126">
        <v>12</v>
      </c>
      <c r="N2" s="126">
        <v>13</v>
      </c>
      <c r="O2" s="126">
        <v>14</v>
      </c>
      <c r="P2" s="126">
        <v>15</v>
      </c>
      <c r="Q2" s="126">
        <v>16</v>
      </c>
      <c r="R2" s="126">
        <v>17</v>
      </c>
      <c r="S2" s="126">
        <v>18</v>
      </c>
      <c r="T2" s="126">
        <v>19</v>
      </c>
      <c r="U2" s="126">
        <v>20</v>
      </c>
      <c r="V2" s="126">
        <v>21</v>
      </c>
      <c r="W2" s="126">
        <v>22</v>
      </c>
      <c r="X2" s="126">
        <v>23</v>
      </c>
      <c r="Y2" s="127">
        <v>24</v>
      </c>
    </row>
    <row r="3" spans="1:33" ht="18">
      <c r="A3" s="121" t="s">
        <v>133</v>
      </c>
      <c r="B3" s="137">
        <v>1</v>
      </c>
      <c r="C3" s="138">
        <v>2</v>
      </c>
      <c r="D3" s="138">
        <v>2</v>
      </c>
      <c r="E3" s="138">
        <v>3</v>
      </c>
      <c r="F3" s="138">
        <v>4</v>
      </c>
      <c r="G3" s="138">
        <v>2</v>
      </c>
      <c r="H3" s="138">
        <v>2</v>
      </c>
      <c r="I3" s="138">
        <v>1</v>
      </c>
      <c r="J3" s="138">
        <v>2</v>
      </c>
      <c r="K3" s="138">
        <v>18</v>
      </c>
      <c r="L3" s="138">
        <v>1</v>
      </c>
      <c r="M3" s="138">
        <v>1</v>
      </c>
      <c r="N3" s="138">
        <v>2</v>
      </c>
      <c r="O3" s="138">
        <v>1</v>
      </c>
      <c r="P3" s="138">
        <v>18</v>
      </c>
      <c r="Q3" s="138">
        <v>2</v>
      </c>
      <c r="R3" s="138">
        <v>7</v>
      </c>
      <c r="S3" s="138">
        <v>3</v>
      </c>
      <c r="T3" s="138">
        <v>2</v>
      </c>
      <c r="U3" s="138">
        <v>1</v>
      </c>
      <c r="V3" s="138">
        <v>1</v>
      </c>
      <c r="W3" s="131" t="s">
        <v>159</v>
      </c>
      <c r="X3" s="138">
        <v>4</v>
      </c>
      <c r="Y3" s="139">
        <v>3</v>
      </c>
      <c r="Z3" s="116"/>
    </row>
    <row r="4" spans="1:33" ht="18">
      <c r="A4" s="121" t="s">
        <v>134</v>
      </c>
      <c r="B4" s="132">
        <v>2</v>
      </c>
      <c r="C4" s="131">
        <v>4</v>
      </c>
      <c r="D4" s="131">
        <v>1</v>
      </c>
      <c r="E4" s="131">
        <v>6</v>
      </c>
      <c r="F4" s="131">
        <v>2</v>
      </c>
      <c r="G4" s="131">
        <v>4</v>
      </c>
      <c r="H4" s="131">
        <v>1</v>
      </c>
      <c r="I4" s="131">
        <v>4</v>
      </c>
      <c r="J4" s="131">
        <v>10</v>
      </c>
      <c r="K4" s="131">
        <v>2</v>
      </c>
      <c r="L4" s="131" t="s">
        <v>159</v>
      </c>
      <c r="M4" s="131">
        <v>5</v>
      </c>
      <c r="N4" s="131">
        <v>4</v>
      </c>
      <c r="O4" s="131">
        <v>9</v>
      </c>
      <c r="P4" s="131">
        <v>2</v>
      </c>
      <c r="Q4" s="131">
        <v>1</v>
      </c>
      <c r="R4" s="131">
        <v>1</v>
      </c>
      <c r="S4" s="131">
        <v>2</v>
      </c>
      <c r="T4" s="131">
        <v>1</v>
      </c>
      <c r="U4" s="131">
        <v>3</v>
      </c>
      <c r="V4" s="131">
        <v>3</v>
      </c>
      <c r="W4" s="131">
        <v>1</v>
      </c>
      <c r="X4" s="131">
        <v>1</v>
      </c>
      <c r="Y4" s="133">
        <v>1</v>
      </c>
      <c r="Z4" s="116"/>
    </row>
    <row r="5" spans="1:33" ht="18">
      <c r="A5" s="121" t="s">
        <v>135</v>
      </c>
      <c r="B5" s="132">
        <v>9</v>
      </c>
      <c r="C5" s="131">
        <v>1</v>
      </c>
      <c r="D5" s="131">
        <v>3</v>
      </c>
      <c r="E5" s="131">
        <v>1</v>
      </c>
      <c r="F5" s="131">
        <v>1</v>
      </c>
      <c r="G5" s="131">
        <v>1</v>
      </c>
      <c r="H5" s="131">
        <v>3</v>
      </c>
      <c r="I5" s="131">
        <v>3</v>
      </c>
      <c r="J5" s="131">
        <v>1</v>
      </c>
      <c r="K5" s="131">
        <v>4</v>
      </c>
      <c r="L5" s="131">
        <v>2</v>
      </c>
      <c r="M5" s="131">
        <v>2</v>
      </c>
      <c r="N5" s="131">
        <v>1</v>
      </c>
      <c r="O5" s="131">
        <v>2</v>
      </c>
      <c r="P5" s="131">
        <v>1</v>
      </c>
      <c r="Q5" s="131">
        <v>3</v>
      </c>
      <c r="R5" s="131" t="s">
        <v>159</v>
      </c>
      <c r="S5" s="131">
        <v>4</v>
      </c>
      <c r="T5" s="131">
        <v>5</v>
      </c>
      <c r="U5" s="131">
        <v>5</v>
      </c>
      <c r="V5" s="131">
        <v>5</v>
      </c>
      <c r="W5" s="131" t="s">
        <v>159</v>
      </c>
      <c r="X5" s="131">
        <v>2</v>
      </c>
      <c r="Y5" s="133">
        <v>2</v>
      </c>
      <c r="Z5" s="116"/>
    </row>
    <row r="6" spans="1:33" ht="18">
      <c r="A6" s="121" t="s">
        <v>136</v>
      </c>
      <c r="B6" s="132">
        <v>3</v>
      </c>
      <c r="C6" s="131">
        <v>3</v>
      </c>
      <c r="D6" s="131">
        <v>5</v>
      </c>
      <c r="E6" s="131">
        <v>2</v>
      </c>
      <c r="F6" s="131">
        <v>5</v>
      </c>
      <c r="G6" s="131">
        <v>3</v>
      </c>
      <c r="H6" s="131">
        <v>7</v>
      </c>
      <c r="I6" s="131">
        <v>11</v>
      </c>
      <c r="J6" s="131">
        <v>4</v>
      </c>
      <c r="K6" s="131">
        <v>1</v>
      </c>
      <c r="L6" s="131">
        <v>5</v>
      </c>
      <c r="M6" s="131">
        <v>10</v>
      </c>
      <c r="N6" s="131">
        <v>5</v>
      </c>
      <c r="O6" s="131">
        <v>3</v>
      </c>
      <c r="P6" s="131">
        <v>4</v>
      </c>
      <c r="Q6" s="131">
        <v>5</v>
      </c>
      <c r="R6" s="131">
        <v>2</v>
      </c>
      <c r="S6" s="131">
        <v>1</v>
      </c>
      <c r="T6" s="131">
        <v>6</v>
      </c>
      <c r="U6" s="131">
        <v>7</v>
      </c>
      <c r="V6" s="131">
        <v>4</v>
      </c>
      <c r="W6" s="131">
        <v>2</v>
      </c>
      <c r="X6" s="131">
        <v>6</v>
      </c>
      <c r="Y6" s="133">
        <v>5</v>
      </c>
      <c r="Z6" s="116"/>
    </row>
    <row r="7" spans="1:33" ht="18">
      <c r="A7" s="121" t="s">
        <v>137</v>
      </c>
      <c r="B7" s="132">
        <v>8</v>
      </c>
      <c r="C7" s="132" t="s">
        <v>159</v>
      </c>
      <c r="D7" s="131">
        <v>4</v>
      </c>
      <c r="E7" s="131">
        <v>4</v>
      </c>
      <c r="F7" s="131">
        <v>3</v>
      </c>
      <c r="G7" s="131">
        <v>7</v>
      </c>
      <c r="H7" s="131">
        <v>6</v>
      </c>
      <c r="I7" s="131">
        <v>2</v>
      </c>
      <c r="J7" s="131">
        <v>3</v>
      </c>
      <c r="K7" s="131">
        <v>5</v>
      </c>
      <c r="L7" s="131">
        <v>3</v>
      </c>
      <c r="M7" s="131">
        <v>14</v>
      </c>
      <c r="N7" s="131">
        <v>3</v>
      </c>
      <c r="O7" s="131">
        <v>4</v>
      </c>
      <c r="P7" s="131" t="s">
        <v>159</v>
      </c>
      <c r="Q7" s="131">
        <v>4</v>
      </c>
      <c r="R7" s="131">
        <v>9</v>
      </c>
      <c r="S7" s="131">
        <v>6</v>
      </c>
      <c r="T7" s="131">
        <v>3</v>
      </c>
      <c r="U7" s="131">
        <v>2</v>
      </c>
      <c r="V7" s="131" t="s">
        <v>159</v>
      </c>
      <c r="W7" s="131">
        <v>4</v>
      </c>
      <c r="X7" s="131">
        <v>8</v>
      </c>
      <c r="Y7" s="133">
        <v>4</v>
      </c>
      <c r="Z7" s="116"/>
    </row>
    <row r="8" spans="1:33" ht="18">
      <c r="A8" s="121" t="s">
        <v>138</v>
      </c>
      <c r="B8" s="132">
        <v>10</v>
      </c>
      <c r="C8" s="132" t="s">
        <v>159</v>
      </c>
      <c r="D8" s="131">
        <v>7</v>
      </c>
      <c r="E8" s="131">
        <v>5</v>
      </c>
      <c r="F8" s="131">
        <v>7</v>
      </c>
      <c r="G8" s="131">
        <v>8</v>
      </c>
      <c r="H8" s="131">
        <v>4</v>
      </c>
      <c r="I8" s="131">
        <v>5</v>
      </c>
      <c r="J8" s="131">
        <v>6</v>
      </c>
      <c r="K8" s="131">
        <v>6</v>
      </c>
      <c r="L8" s="131">
        <v>4</v>
      </c>
      <c r="M8" s="131">
        <v>4</v>
      </c>
      <c r="N8" s="131">
        <v>7</v>
      </c>
      <c r="O8" s="131">
        <v>12</v>
      </c>
      <c r="P8" s="131" t="s">
        <v>159</v>
      </c>
      <c r="Q8" s="131">
        <v>6</v>
      </c>
      <c r="R8" s="131">
        <v>8</v>
      </c>
      <c r="S8" s="131">
        <v>8</v>
      </c>
      <c r="T8" s="131">
        <v>4</v>
      </c>
      <c r="U8" s="131">
        <v>8</v>
      </c>
      <c r="V8" s="131" t="s">
        <v>159</v>
      </c>
      <c r="W8" s="131">
        <v>8</v>
      </c>
      <c r="X8" s="131">
        <v>12</v>
      </c>
      <c r="Y8" s="133">
        <v>8</v>
      </c>
      <c r="Z8" s="116"/>
    </row>
    <row r="9" spans="1:33" ht="18">
      <c r="A9" s="121" t="s">
        <v>139</v>
      </c>
      <c r="B9" s="132">
        <v>4</v>
      </c>
      <c r="C9" s="131">
        <v>6</v>
      </c>
      <c r="D9" s="131">
        <v>6</v>
      </c>
      <c r="E9" s="131">
        <v>11</v>
      </c>
      <c r="F9" s="131">
        <v>6</v>
      </c>
      <c r="G9" s="131">
        <v>6</v>
      </c>
      <c r="H9" s="131" t="s">
        <v>159</v>
      </c>
      <c r="I9" s="131">
        <v>18</v>
      </c>
      <c r="J9" s="131" t="s">
        <v>159</v>
      </c>
      <c r="K9" s="131">
        <v>3</v>
      </c>
      <c r="L9" s="131" t="s">
        <v>159</v>
      </c>
      <c r="M9" s="131" t="s">
        <v>159</v>
      </c>
      <c r="N9" s="131">
        <v>16</v>
      </c>
      <c r="O9" s="131">
        <v>10</v>
      </c>
      <c r="P9" s="131">
        <v>16</v>
      </c>
      <c r="Q9" s="131">
        <v>9</v>
      </c>
      <c r="R9" s="131">
        <v>4</v>
      </c>
      <c r="S9" s="131">
        <v>5</v>
      </c>
      <c r="T9" s="131">
        <v>13</v>
      </c>
      <c r="U9" s="131">
        <v>6</v>
      </c>
      <c r="V9" s="131">
        <v>2</v>
      </c>
      <c r="W9" s="131">
        <v>3</v>
      </c>
      <c r="X9" s="131">
        <v>5</v>
      </c>
      <c r="Y9" s="133">
        <v>15</v>
      </c>
      <c r="Z9" s="116"/>
    </row>
    <row r="10" spans="1:33" ht="18">
      <c r="A10" s="121" t="s">
        <v>140</v>
      </c>
      <c r="B10" s="132">
        <v>5</v>
      </c>
      <c r="C10" s="131">
        <v>7</v>
      </c>
      <c r="D10" s="131">
        <v>9</v>
      </c>
      <c r="E10" s="131">
        <v>12</v>
      </c>
      <c r="F10" s="131">
        <v>9</v>
      </c>
      <c r="G10" s="131">
        <v>5</v>
      </c>
      <c r="H10" s="131">
        <v>5</v>
      </c>
      <c r="I10" s="131">
        <v>9</v>
      </c>
      <c r="J10" s="131" t="s">
        <v>159</v>
      </c>
      <c r="K10" s="131" t="s">
        <v>159</v>
      </c>
      <c r="L10" s="131" t="s">
        <v>159</v>
      </c>
      <c r="M10" s="131">
        <v>8</v>
      </c>
      <c r="N10" s="131">
        <v>6</v>
      </c>
      <c r="O10" s="131">
        <v>15</v>
      </c>
      <c r="P10" s="131">
        <v>5</v>
      </c>
      <c r="Q10" s="131">
        <v>7</v>
      </c>
      <c r="R10" s="131">
        <v>13</v>
      </c>
      <c r="S10" s="131">
        <v>14</v>
      </c>
      <c r="T10" s="131">
        <v>14</v>
      </c>
      <c r="U10" s="131">
        <v>12</v>
      </c>
      <c r="V10" s="131">
        <v>11</v>
      </c>
      <c r="W10" s="131" t="s">
        <v>159</v>
      </c>
      <c r="X10" s="131">
        <v>11</v>
      </c>
      <c r="Y10" s="133">
        <v>16</v>
      </c>
      <c r="Z10" s="116"/>
    </row>
    <row r="11" spans="1:33" ht="18">
      <c r="A11" s="121" t="s">
        <v>141</v>
      </c>
      <c r="B11" s="132" t="s">
        <v>159</v>
      </c>
      <c r="C11" s="131">
        <v>10</v>
      </c>
      <c r="D11" s="131">
        <v>14</v>
      </c>
      <c r="E11" s="131" t="s">
        <v>159</v>
      </c>
      <c r="F11" s="131">
        <v>8</v>
      </c>
      <c r="G11" s="131">
        <v>9</v>
      </c>
      <c r="H11" s="131">
        <v>8</v>
      </c>
      <c r="I11" s="131">
        <v>10</v>
      </c>
      <c r="J11" s="131">
        <v>14</v>
      </c>
      <c r="K11" s="131">
        <v>10</v>
      </c>
      <c r="L11" s="131" t="s">
        <v>159</v>
      </c>
      <c r="M11" s="131">
        <v>12</v>
      </c>
      <c r="N11" s="131">
        <v>18</v>
      </c>
      <c r="O11" s="131">
        <v>14</v>
      </c>
      <c r="P11" s="131">
        <v>13</v>
      </c>
      <c r="Q11" s="131">
        <v>11</v>
      </c>
      <c r="R11" s="131">
        <v>3</v>
      </c>
      <c r="S11" s="131">
        <v>10</v>
      </c>
      <c r="T11" s="131" t="s">
        <v>159</v>
      </c>
      <c r="U11" s="131">
        <v>17</v>
      </c>
      <c r="V11" s="131">
        <v>13</v>
      </c>
      <c r="W11" s="131">
        <v>5</v>
      </c>
      <c r="X11" s="131">
        <v>3</v>
      </c>
      <c r="Y11" s="133">
        <v>13</v>
      </c>
      <c r="Z11" s="116"/>
    </row>
    <row r="12" spans="1:33" ht="19" thickBot="1">
      <c r="A12" s="121" t="s">
        <v>142</v>
      </c>
      <c r="B12" s="132" t="s">
        <v>159</v>
      </c>
      <c r="C12" s="131" t="s">
        <v>159</v>
      </c>
      <c r="D12" s="131">
        <v>11</v>
      </c>
      <c r="E12" s="131">
        <v>15</v>
      </c>
      <c r="F12" s="131">
        <v>11</v>
      </c>
      <c r="G12" s="131">
        <v>15</v>
      </c>
      <c r="H12" s="131">
        <v>11</v>
      </c>
      <c r="I12" s="131" t="s">
        <v>159</v>
      </c>
      <c r="J12" s="131">
        <v>9</v>
      </c>
      <c r="K12" s="131">
        <v>7</v>
      </c>
      <c r="L12" s="131">
        <v>7</v>
      </c>
      <c r="M12" s="131">
        <v>9</v>
      </c>
      <c r="N12" s="131">
        <v>17</v>
      </c>
      <c r="O12" s="131">
        <v>5</v>
      </c>
      <c r="P12" s="131">
        <v>8</v>
      </c>
      <c r="Q12" s="131" t="s">
        <v>159</v>
      </c>
      <c r="R12" s="131">
        <v>15</v>
      </c>
      <c r="S12" s="131">
        <v>7</v>
      </c>
      <c r="T12" s="131">
        <v>10</v>
      </c>
      <c r="U12" s="131" t="s">
        <v>159</v>
      </c>
      <c r="V12" s="131">
        <v>14</v>
      </c>
      <c r="W12" s="131">
        <v>11</v>
      </c>
      <c r="X12" s="131">
        <v>7</v>
      </c>
      <c r="Y12" s="133">
        <v>6</v>
      </c>
      <c r="Z12" s="116"/>
      <c r="AE12" t="s">
        <v>156</v>
      </c>
      <c r="AF12" t="s">
        <v>157</v>
      </c>
      <c r="AG12" t="s">
        <v>158</v>
      </c>
    </row>
    <row r="13" spans="1:33" ht="18">
      <c r="A13" s="121" t="s">
        <v>143</v>
      </c>
      <c r="B13" s="132">
        <v>7</v>
      </c>
      <c r="C13" s="131">
        <v>15</v>
      </c>
      <c r="D13" s="131">
        <v>16</v>
      </c>
      <c r="E13" s="131" t="s">
        <v>159</v>
      </c>
      <c r="F13" s="131">
        <v>15</v>
      </c>
      <c r="G13" s="131">
        <v>14</v>
      </c>
      <c r="H13" s="131">
        <v>12</v>
      </c>
      <c r="I13" s="131">
        <v>16</v>
      </c>
      <c r="J13" s="131">
        <v>5</v>
      </c>
      <c r="K13" s="131">
        <v>8</v>
      </c>
      <c r="L13" s="131">
        <v>9</v>
      </c>
      <c r="M13" s="131">
        <v>3</v>
      </c>
      <c r="N13" s="131">
        <v>12</v>
      </c>
      <c r="O13" s="131">
        <v>13</v>
      </c>
      <c r="P13" s="131">
        <v>14</v>
      </c>
      <c r="Q13" s="131" t="s">
        <v>159</v>
      </c>
      <c r="R13" s="131">
        <v>16</v>
      </c>
      <c r="S13" s="131">
        <v>20</v>
      </c>
      <c r="T13" s="131">
        <v>8</v>
      </c>
      <c r="U13" s="131" t="s">
        <v>159</v>
      </c>
      <c r="V13" s="131">
        <v>9</v>
      </c>
      <c r="W13" s="131">
        <v>7</v>
      </c>
      <c r="X13" s="131" t="s">
        <v>159</v>
      </c>
      <c r="Y13" s="133">
        <v>9</v>
      </c>
      <c r="Z13" s="116"/>
      <c r="AE13" s="118">
        <v>1</v>
      </c>
      <c r="AF13" s="119">
        <v>25</v>
      </c>
      <c r="AG13" s="120">
        <v>8</v>
      </c>
    </row>
    <row r="14" spans="1:33" ht="18">
      <c r="A14" s="121" t="s">
        <v>144</v>
      </c>
      <c r="B14" s="132" t="s">
        <v>159</v>
      </c>
      <c r="C14" s="131">
        <v>11</v>
      </c>
      <c r="D14" s="131">
        <v>8</v>
      </c>
      <c r="E14" s="131">
        <v>13</v>
      </c>
      <c r="F14" s="131">
        <v>10</v>
      </c>
      <c r="G14" s="131">
        <v>11</v>
      </c>
      <c r="H14" s="131">
        <v>9</v>
      </c>
      <c r="I14" s="131">
        <v>6</v>
      </c>
      <c r="J14" s="131">
        <v>7</v>
      </c>
      <c r="K14" s="131">
        <v>16</v>
      </c>
      <c r="L14" s="131">
        <v>12</v>
      </c>
      <c r="M14" s="131" t="s">
        <v>159</v>
      </c>
      <c r="N14" s="131">
        <v>20</v>
      </c>
      <c r="O14" s="131">
        <v>11</v>
      </c>
      <c r="P14" s="131">
        <v>3</v>
      </c>
      <c r="Q14" s="131">
        <v>10</v>
      </c>
      <c r="R14" s="131">
        <v>10</v>
      </c>
      <c r="S14" s="131">
        <v>11</v>
      </c>
      <c r="T14" s="131">
        <v>16</v>
      </c>
      <c r="U14" s="131">
        <v>13</v>
      </c>
      <c r="V14" s="131">
        <v>8</v>
      </c>
      <c r="W14" s="131">
        <v>6</v>
      </c>
      <c r="X14" s="131">
        <v>18</v>
      </c>
      <c r="Y14" s="133">
        <v>17</v>
      </c>
      <c r="Z14" s="116"/>
      <c r="AE14" s="140">
        <v>2</v>
      </c>
      <c r="AF14">
        <v>18</v>
      </c>
      <c r="AG14" s="123">
        <v>7</v>
      </c>
    </row>
    <row r="15" spans="1:33" ht="18">
      <c r="A15" s="121" t="s">
        <v>145</v>
      </c>
      <c r="B15" s="132">
        <v>14</v>
      </c>
      <c r="C15" s="131">
        <v>8</v>
      </c>
      <c r="D15" s="131">
        <v>10</v>
      </c>
      <c r="E15" s="131">
        <v>10</v>
      </c>
      <c r="F15" s="131">
        <v>13</v>
      </c>
      <c r="G15" s="131" t="s">
        <v>159</v>
      </c>
      <c r="H15" s="131">
        <v>17</v>
      </c>
      <c r="I15" s="131">
        <v>12</v>
      </c>
      <c r="J15" s="131">
        <v>17</v>
      </c>
      <c r="K15" s="131">
        <v>11</v>
      </c>
      <c r="L15" s="131">
        <v>11</v>
      </c>
      <c r="M15" s="131">
        <v>11</v>
      </c>
      <c r="N15" s="131">
        <v>11</v>
      </c>
      <c r="O15" s="131" t="s">
        <v>159</v>
      </c>
      <c r="P15" s="131">
        <v>6</v>
      </c>
      <c r="Q15" s="131">
        <v>12</v>
      </c>
      <c r="R15" s="131">
        <v>12</v>
      </c>
      <c r="S15" s="131">
        <v>9</v>
      </c>
      <c r="T15" s="131">
        <v>9</v>
      </c>
      <c r="U15" s="131">
        <v>4</v>
      </c>
      <c r="V15" s="131">
        <v>6</v>
      </c>
      <c r="W15" s="131">
        <v>10</v>
      </c>
      <c r="X15" s="131" t="s">
        <v>159</v>
      </c>
      <c r="Y15" s="133">
        <v>12</v>
      </c>
      <c r="Z15" s="116"/>
      <c r="AE15" s="140">
        <v>3</v>
      </c>
      <c r="AF15">
        <v>15</v>
      </c>
      <c r="AG15" s="123">
        <v>6</v>
      </c>
    </row>
    <row r="16" spans="1:33" ht="18">
      <c r="A16" s="121" t="s">
        <v>146</v>
      </c>
      <c r="B16" s="132" t="s">
        <v>159</v>
      </c>
      <c r="C16" s="131">
        <v>12</v>
      </c>
      <c r="D16" s="131">
        <v>17</v>
      </c>
      <c r="E16" s="131">
        <v>16</v>
      </c>
      <c r="F16" s="131">
        <v>12</v>
      </c>
      <c r="G16" s="131" t="s">
        <v>159</v>
      </c>
      <c r="H16" s="131">
        <v>14</v>
      </c>
      <c r="I16" s="131">
        <v>8</v>
      </c>
      <c r="J16" s="131">
        <v>11</v>
      </c>
      <c r="K16" s="131" t="s">
        <v>159</v>
      </c>
      <c r="L16" s="131">
        <v>6</v>
      </c>
      <c r="M16" s="131" t="s">
        <v>159</v>
      </c>
      <c r="N16" s="131">
        <v>8</v>
      </c>
      <c r="O16" s="131">
        <v>8</v>
      </c>
      <c r="P16" s="131">
        <v>12</v>
      </c>
      <c r="Q16" s="131">
        <v>14</v>
      </c>
      <c r="R16" s="131">
        <v>5</v>
      </c>
      <c r="S16" s="131">
        <v>15</v>
      </c>
      <c r="T16" s="131">
        <v>11</v>
      </c>
      <c r="U16" s="131" t="s">
        <v>159</v>
      </c>
      <c r="V16" s="131">
        <v>7</v>
      </c>
      <c r="W16" s="131">
        <v>14</v>
      </c>
      <c r="X16" s="131">
        <v>9</v>
      </c>
      <c r="Y16" s="133">
        <v>18</v>
      </c>
      <c r="Z16" s="116"/>
      <c r="AE16" s="140">
        <v>4</v>
      </c>
      <c r="AF16">
        <v>12</v>
      </c>
      <c r="AG16" s="123">
        <v>5</v>
      </c>
    </row>
    <row r="17" spans="1:33" ht="18">
      <c r="A17" s="121" t="s">
        <v>147</v>
      </c>
      <c r="B17" s="132">
        <v>13</v>
      </c>
      <c r="C17" s="131">
        <v>5</v>
      </c>
      <c r="D17" s="131">
        <v>18</v>
      </c>
      <c r="E17" s="131">
        <v>8</v>
      </c>
      <c r="F17" s="131">
        <v>14</v>
      </c>
      <c r="G17" s="131">
        <v>12</v>
      </c>
      <c r="H17" s="131" t="s">
        <v>159</v>
      </c>
      <c r="I17" s="131">
        <v>7</v>
      </c>
      <c r="J17" s="131">
        <v>16</v>
      </c>
      <c r="K17" s="131">
        <v>9</v>
      </c>
      <c r="L17" s="131">
        <v>10</v>
      </c>
      <c r="M17" s="131">
        <v>13</v>
      </c>
      <c r="N17" s="131">
        <v>15</v>
      </c>
      <c r="O17" s="131">
        <v>16</v>
      </c>
      <c r="P17" s="131">
        <v>10</v>
      </c>
      <c r="Q17" s="131">
        <v>15</v>
      </c>
      <c r="R17" s="131">
        <v>14</v>
      </c>
      <c r="S17" s="131">
        <v>18</v>
      </c>
      <c r="T17" s="131">
        <v>15</v>
      </c>
      <c r="U17" s="131">
        <v>9</v>
      </c>
      <c r="V17" s="131">
        <v>12</v>
      </c>
      <c r="W17" s="131">
        <v>9</v>
      </c>
      <c r="X17" s="131">
        <v>15</v>
      </c>
      <c r="Y17" s="133">
        <v>7</v>
      </c>
      <c r="Z17" s="116"/>
      <c r="AE17" s="140">
        <v>5</v>
      </c>
      <c r="AF17">
        <v>10</v>
      </c>
      <c r="AG17" s="123">
        <v>4</v>
      </c>
    </row>
    <row r="18" spans="1:33" ht="18">
      <c r="A18" s="121" t="s">
        <v>148</v>
      </c>
      <c r="B18" s="132">
        <v>6</v>
      </c>
      <c r="C18" s="131">
        <v>9</v>
      </c>
      <c r="D18" s="131">
        <v>20</v>
      </c>
      <c r="E18" s="131">
        <v>17</v>
      </c>
      <c r="F18" s="131">
        <v>16</v>
      </c>
      <c r="G18" s="131">
        <v>16</v>
      </c>
      <c r="H18" s="131">
        <v>15</v>
      </c>
      <c r="I18" s="131">
        <v>15</v>
      </c>
      <c r="J18" s="131" t="s">
        <v>159</v>
      </c>
      <c r="K18" s="131">
        <v>17</v>
      </c>
      <c r="L18" s="131">
        <v>14</v>
      </c>
      <c r="M18" s="131">
        <v>7</v>
      </c>
      <c r="N18" s="131">
        <v>14</v>
      </c>
      <c r="O18" s="131">
        <v>7</v>
      </c>
      <c r="P18" s="131">
        <v>7</v>
      </c>
      <c r="Q18" s="131">
        <v>18</v>
      </c>
      <c r="R18" s="131">
        <v>17</v>
      </c>
      <c r="S18" s="131">
        <v>13</v>
      </c>
      <c r="T18" s="131">
        <v>12</v>
      </c>
      <c r="U18" s="131">
        <v>14</v>
      </c>
      <c r="V18" s="131">
        <v>16</v>
      </c>
      <c r="W18" s="131" t="s">
        <v>159</v>
      </c>
      <c r="X18" s="131">
        <v>17</v>
      </c>
      <c r="Y18" s="133">
        <v>10</v>
      </c>
      <c r="Z18" s="116"/>
      <c r="AE18" s="140">
        <v>6</v>
      </c>
      <c r="AF18">
        <v>8</v>
      </c>
      <c r="AG18" s="123">
        <v>3</v>
      </c>
    </row>
    <row r="19" spans="1:33" ht="18">
      <c r="A19" s="121" t="s">
        <v>149</v>
      </c>
      <c r="B19" s="132">
        <v>12</v>
      </c>
      <c r="C19" s="131">
        <v>16</v>
      </c>
      <c r="D19" s="131">
        <v>12</v>
      </c>
      <c r="E19" s="131">
        <v>9</v>
      </c>
      <c r="F19" s="131" t="s">
        <v>159</v>
      </c>
      <c r="G19" s="131">
        <v>10</v>
      </c>
      <c r="H19" s="131">
        <v>10</v>
      </c>
      <c r="I19" s="131">
        <v>17</v>
      </c>
      <c r="J19" s="131">
        <v>13</v>
      </c>
      <c r="K19" s="131">
        <v>12</v>
      </c>
      <c r="L19" s="131">
        <v>16</v>
      </c>
      <c r="M19" s="131">
        <v>15</v>
      </c>
      <c r="N19" s="131">
        <v>13</v>
      </c>
      <c r="O19" s="131">
        <v>17</v>
      </c>
      <c r="P19" s="131">
        <v>9</v>
      </c>
      <c r="Q19" s="131">
        <v>13</v>
      </c>
      <c r="R19" s="131">
        <v>6</v>
      </c>
      <c r="S19" s="131">
        <v>12</v>
      </c>
      <c r="T19" s="131">
        <v>7</v>
      </c>
      <c r="U19" s="131">
        <v>11</v>
      </c>
      <c r="V19" s="131">
        <v>17</v>
      </c>
      <c r="W19" s="131">
        <v>12</v>
      </c>
      <c r="X19" s="131">
        <v>10</v>
      </c>
      <c r="Y19" s="133">
        <v>14</v>
      </c>
      <c r="Z19" s="116"/>
      <c r="AE19" s="140">
        <v>7</v>
      </c>
      <c r="AF19">
        <v>6</v>
      </c>
      <c r="AG19" s="123">
        <v>2</v>
      </c>
    </row>
    <row r="20" spans="1:33" ht="18">
      <c r="A20" s="121" t="s">
        <v>150</v>
      </c>
      <c r="B20" s="132">
        <v>11</v>
      </c>
      <c r="C20" s="131" t="s">
        <v>159</v>
      </c>
      <c r="D20" s="131">
        <v>13</v>
      </c>
      <c r="E20" s="131">
        <v>7</v>
      </c>
      <c r="F20" s="131" t="s">
        <v>159</v>
      </c>
      <c r="G20" s="131">
        <v>13</v>
      </c>
      <c r="H20" s="131">
        <v>13</v>
      </c>
      <c r="I20" s="131" t="s">
        <v>159</v>
      </c>
      <c r="J20" s="131">
        <v>8</v>
      </c>
      <c r="K20" s="131">
        <v>15</v>
      </c>
      <c r="L20" s="131">
        <v>13</v>
      </c>
      <c r="M20" s="131">
        <v>6</v>
      </c>
      <c r="N20" s="131">
        <v>10</v>
      </c>
      <c r="O20" s="131">
        <v>19</v>
      </c>
      <c r="P20" s="131">
        <v>17</v>
      </c>
      <c r="Q20" s="131">
        <v>16</v>
      </c>
      <c r="R20" s="131">
        <v>18</v>
      </c>
      <c r="S20" s="131">
        <v>19</v>
      </c>
      <c r="T20" s="131">
        <v>19</v>
      </c>
      <c r="U20" s="131">
        <v>15</v>
      </c>
      <c r="V20" s="131">
        <v>10</v>
      </c>
      <c r="W20" s="131">
        <v>13</v>
      </c>
      <c r="X20" s="131">
        <v>16</v>
      </c>
      <c r="Y20" s="133">
        <v>19</v>
      </c>
      <c r="Z20" s="116"/>
      <c r="AE20" s="140">
        <v>8</v>
      </c>
      <c r="AF20">
        <v>4</v>
      </c>
      <c r="AG20" s="123">
        <v>1</v>
      </c>
    </row>
    <row r="21" spans="1:33" ht="18">
      <c r="A21" s="121" t="s">
        <v>151</v>
      </c>
      <c r="B21" s="132" t="s">
        <v>159</v>
      </c>
      <c r="C21" s="131">
        <v>14</v>
      </c>
      <c r="D21" s="131">
        <v>19</v>
      </c>
      <c r="E21" s="131">
        <v>18</v>
      </c>
      <c r="F21" s="131">
        <v>18</v>
      </c>
      <c r="G21" s="131" t="s">
        <v>159</v>
      </c>
      <c r="H21" s="131">
        <v>18</v>
      </c>
      <c r="I21" s="131">
        <v>14</v>
      </c>
      <c r="J21" s="131">
        <v>12</v>
      </c>
      <c r="K21" s="131">
        <v>14</v>
      </c>
      <c r="L21" s="131">
        <v>8</v>
      </c>
      <c r="M21" s="131" t="s">
        <v>159</v>
      </c>
      <c r="N21" s="131">
        <v>9</v>
      </c>
      <c r="O21" s="131">
        <v>6</v>
      </c>
      <c r="P21" s="131">
        <v>15</v>
      </c>
      <c r="Q21" s="131">
        <v>8</v>
      </c>
      <c r="R21" s="131">
        <v>11</v>
      </c>
      <c r="S21" s="131">
        <v>17</v>
      </c>
      <c r="T21" s="131">
        <v>18</v>
      </c>
      <c r="U21" s="131">
        <v>10</v>
      </c>
      <c r="V21" s="131" t="s">
        <v>159</v>
      </c>
      <c r="W21" s="131" t="s">
        <v>159</v>
      </c>
      <c r="X21" s="131">
        <v>13</v>
      </c>
      <c r="Y21" s="133">
        <v>11</v>
      </c>
      <c r="Z21" s="116"/>
      <c r="AE21" s="140">
        <v>9</v>
      </c>
      <c r="AF21">
        <v>2</v>
      </c>
      <c r="AG21" s="123">
        <v>0</v>
      </c>
    </row>
    <row r="22" spans="1:33" ht="18">
      <c r="A22" s="121" t="s">
        <v>152</v>
      </c>
      <c r="B22" s="132" t="s">
        <v>159</v>
      </c>
      <c r="C22" s="131" t="s">
        <v>159</v>
      </c>
      <c r="D22" s="131" t="s">
        <v>159</v>
      </c>
      <c r="E22" s="131" t="s">
        <v>159</v>
      </c>
      <c r="F22" s="131" t="s">
        <v>159</v>
      </c>
      <c r="G22" s="131" t="s">
        <v>159</v>
      </c>
      <c r="H22" s="131">
        <v>16</v>
      </c>
      <c r="I22" s="131">
        <v>13</v>
      </c>
      <c r="J22" s="131">
        <v>15</v>
      </c>
      <c r="K22" s="131">
        <v>13</v>
      </c>
      <c r="L22" s="131">
        <v>15</v>
      </c>
      <c r="M22" s="131" t="s">
        <v>159</v>
      </c>
      <c r="N22" s="131">
        <v>19</v>
      </c>
      <c r="O22" s="131">
        <v>18</v>
      </c>
      <c r="P22" s="131">
        <v>11</v>
      </c>
      <c r="Q22" s="131">
        <v>17</v>
      </c>
      <c r="R22" s="131">
        <v>19</v>
      </c>
      <c r="S22" s="131">
        <v>16</v>
      </c>
      <c r="T22" s="131">
        <v>17</v>
      </c>
      <c r="U22" s="131">
        <v>16</v>
      </c>
      <c r="V22" s="131">
        <v>15</v>
      </c>
      <c r="W22" s="131">
        <v>15</v>
      </c>
      <c r="X22" s="131">
        <v>14</v>
      </c>
      <c r="Y22" s="133">
        <v>20</v>
      </c>
      <c r="Z22" s="116"/>
      <c r="AE22" s="140">
        <v>10</v>
      </c>
      <c r="AF22">
        <v>1</v>
      </c>
      <c r="AG22" s="123">
        <v>0</v>
      </c>
    </row>
    <row r="23" spans="1:33" ht="19" thickBot="1">
      <c r="A23" s="122" t="s">
        <v>153</v>
      </c>
      <c r="B23" s="134" t="s">
        <v>159</v>
      </c>
      <c r="C23" s="135">
        <v>13</v>
      </c>
      <c r="D23" s="135">
        <v>15</v>
      </c>
      <c r="E23" s="135">
        <v>14</v>
      </c>
      <c r="F23" s="135">
        <v>17</v>
      </c>
      <c r="G23" s="135" t="s">
        <v>159</v>
      </c>
      <c r="H23" s="135" t="s">
        <v>159</v>
      </c>
      <c r="I23" s="135" t="s">
        <v>159</v>
      </c>
      <c r="J23" s="135" t="s">
        <v>159</v>
      </c>
      <c r="K23" s="135" t="s">
        <v>159</v>
      </c>
      <c r="L23" s="135" t="s">
        <v>159</v>
      </c>
      <c r="M23" s="135" t="s">
        <v>159</v>
      </c>
      <c r="N23" s="135" t="s">
        <v>159</v>
      </c>
      <c r="O23" s="135" t="s">
        <v>159</v>
      </c>
      <c r="P23" s="135" t="s">
        <v>159</v>
      </c>
      <c r="Q23" s="135" t="s">
        <v>159</v>
      </c>
      <c r="R23" s="135" t="s">
        <v>159</v>
      </c>
      <c r="S23" s="135" t="s">
        <v>159</v>
      </c>
      <c r="T23" s="135" t="s">
        <v>159</v>
      </c>
      <c r="U23" s="135" t="s">
        <v>159</v>
      </c>
      <c r="V23" s="135" t="s">
        <v>159</v>
      </c>
      <c r="W23" s="135" t="s">
        <v>159</v>
      </c>
      <c r="X23" s="135" t="s">
        <v>159</v>
      </c>
      <c r="Y23" s="136" t="s">
        <v>159</v>
      </c>
      <c r="Z23" s="116"/>
      <c r="AE23" s="140">
        <v>11</v>
      </c>
      <c r="AF23">
        <v>0</v>
      </c>
      <c r="AG23" s="123">
        <v>0</v>
      </c>
    </row>
    <row r="24" spans="1:33">
      <c r="A24" s="7"/>
      <c r="AE24" s="140">
        <v>12</v>
      </c>
      <c r="AF24">
        <v>0</v>
      </c>
      <c r="AG24" s="123">
        <v>0</v>
      </c>
    </row>
    <row r="25" spans="1:33">
      <c r="A25" s="7"/>
      <c r="AE25" s="140">
        <v>13</v>
      </c>
      <c r="AF25">
        <v>0</v>
      </c>
      <c r="AG25" s="123">
        <v>0</v>
      </c>
    </row>
    <row r="26" spans="1:33" ht="17" thickBot="1">
      <c r="A26" s="7"/>
      <c r="AE26" s="140">
        <v>14</v>
      </c>
      <c r="AF26">
        <v>0</v>
      </c>
      <c r="AG26" s="123">
        <v>0</v>
      </c>
    </row>
    <row r="27" spans="1:33" ht="17" thickBot="1">
      <c r="A27" s="130" t="s">
        <v>155</v>
      </c>
      <c r="B27" s="125">
        <v>1</v>
      </c>
      <c r="C27" s="126">
        <v>2</v>
      </c>
      <c r="D27" s="126">
        <v>3</v>
      </c>
      <c r="E27" s="126">
        <v>4</v>
      </c>
      <c r="F27" s="126">
        <v>5</v>
      </c>
      <c r="G27" s="126">
        <v>6</v>
      </c>
      <c r="H27" s="126">
        <v>7</v>
      </c>
      <c r="I27" s="126">
        <v>8</v>
      </c>
      <c r="J27" s="126">
        <v>9</v>
      </c>
      <c r="K27" s="126">
        <v>10</v>
      </c>
      <c r="L27" s="126">
        <v>11</v>
      </c>
      <c r="M27" s="126">
        <v>12</v>
      </c>
      <c r="N27" s="126">
        <v>13</v>
      </c>
      <c r="O27" s="126">
        <v>14</v>
      </c>
      <c r="P27" s="126">
        <v>15</v>
      </c>
      <c r="Q27" s="126">
        <v>16</v>
      </c>
      <c r="R27" s="126">
        <v>17</v>
      </c>
      <c r="S27" s="126">
        <v>18</v>
      </c>
      <c r="T27" s="126">
        <v>19</v>
      </c>
      <c r="U27" s="126">
        <v>20</v>
      </c>
      <c r="V27" s="126">
        <v>21</v>
      </c>
      <c r="W27" s="126">
        <v>22</v>
      </c>
      <c r="X27" s="126">
        <v>23</v>
      </c>
      <c r="Y27" s="127">
        <v>24</v>
      </c>
      <c r="AE27" s="140">
        <v>15</v>
      </c>
      <c r="AF27">
        <v>0</v>
      </c>
      <c r="AG27" s="123">
        <v>0</v>
      </c>
    </row>
    <row r="28" spans="1:33" ht="18">
      <c r="A28" s="128" t="s">
        <v>133</v>
      </c>
      <c r="B28" s="143" t="s">
        <v>159</v>
      </c>
      <c r="C28" s="144">
        <v>8</v>
      </c>
      <c r="D28" s="144" t="s">
        <v>159</v>
      </c>
      <c r="E28" s="144" t="s">
        <v>159</v>
      </c>
      <c r="F28" s="144" t="s">
        <v>159</v>
      </c>
      <c r="G28" s="144">
        <v>1</v>
      </c>
      <c r="H28" s="144" t="s">
        <v>159</v>
      </c>
      <c r="I28" s="144" t="s">
        <v>159</v>
      </c>
      <c r="J28" s="144" t="s">
        <v>159</v>
      </c>
      <c r="K28" s="144" t="s">
        <v>159</v>
      </c>
      <c r="L28" s="144" t="s">
        <v>159</v>
      </c>
      <c r="M28" s="144" t="s">
        <v>159</v>
      </c>
      <c r="N28" s="144">
        <v>3</v>
      </c>
      <c r="O28" s="144" t="s">
        <v>159</v>
      </c>
      <c r="P28" s="144" t="s">
        <v>159</v>
      </c>
      <c r="Q28" s="144" t="s">
        <v>159</v>
      </c>
      <c r="R28" s="144" t="s">
        <v>159</v>
      </c>
      <c r="S28" s="144" t="s">
        <v>159</v>
      </c>
      <c r="T28" s="144" t="s">
        <v>159</v>
      </c>
      <c r="U28" s="144" t="s">
        <v>159</v>
      </c>
      <c r="V28" s="144">
        <v>1</v>
      </c>
      <c r="W28" s="144" t="s">
        <v>159</v>
      </c>
      <c r="X28" s="144">
        <v>3</v>
      </c>
      <c r="Y28" s="145" t="s">
        <v>159</v>
      </c>
      <c r="AE28" s="140">
        <v>16</v>
      </c>
      <c r="AF28">
        <v>0</v>
      </c>
      <c r="AG28" s="123">
        <v>0</v>
      </c>
    </row>
    <row r="29" spans="1:33" ht="18">
      <c r="A29" s="128" t="s">
        <v>134</v>
      </c>
      <c r="B29" s="143" t="s">
        <v>159</v>
      </c>
      <c r="C29" s="144">
        <v>3</v>
      </c>
      <c r="D29" s="144" t="s">
        <v>159</v>
      </c>
      <c r="E29" s="144" t="s">
        <v>159</v>
      </c>
      <c r="F29" s="144" t="s">
        <v>159</v>
      </c>
      <c r="G29" s="144" t="s">
        <v>159</v>
      </c>
      <c r="H29" s="144" t="s">
        <v>159</v>
      </c>
      <c r="I29" s="144" t="s">
        <v>159</v>
      </c>
      <c r="J29" s="144" t="s">
        <v>159</v>
      </c>
      <c r="K29" s="144" t="s">
        <v>159</v>
      </c>
      <c r="L29" s="144" t="s">
        <v>159</v>
      </c>
      <c r="M29" s="144" t="s">
        <v>159</v>
      </c>
      <c r="N29" s="144">
        <v>1</v>
      </c>
      <c r="O29" s="144" t="s">
        <v>159</v>
      </c>
      <c r="P29" s="144" t="s">
        <v>159</v>
      </c>
      <c r="Q29" s="144" t="s">
        <v>159</v>
      </c>
      <c r="R29" s="144" t="s">
        <v>159</v>
      </c>
      <c r="S29" s="144" t="s">
        <v>159</v>
      </c>
      <c r="T29" s="144">
        <v>1</v>
      </c>
      <c r="U29" s="144" t="s">
        <v>159</v>
      </c>
      <c r="V29" s="144">
        <v>4</v>
      </c>
      <c r="W29" s="144" t="s">
        <v>159</v>
      </c>
      <c r="X29" s="144">
        <v>4</v>
      </c>
      <c r="Y29" s="145" t="s">
        <v>159</v>
      </c>
      <c r="AE29" s="140">
        <v>17</v>
      </c>
      <c r="AF29">
        <v>0</v>
      </c>
      <c r="AG29" s="123">
        <v>0</v>
      </c>
    </row>
    <row r="30" spans="1:33" ht="18">
      <c r="A30" s="128" t="s">
        <v>135</v>
      </c>
      <c r="B30" s="143" t="s">
        <v>159</v>
      </c>
      <c r="C30" s="144">
        <v>2</v>
      </c>
      <c r="D30" s="144" t="s">
        <v>159</v>
      </c>
      <c r="E30" s="144" t="s">
        <v>159</v>
      </c>
      <c r="F30" s="144" t="s">
        <v>159</v>
      </c>
      <c r="G30" s="144">
        <v>2</v>
      </c>
      <c r="H30" s="144" t="s">
        <v>159</v>
      </c>
      <c r="I30" s="144" t="s">
        <v>159</v>
      </c>
      <c r="J30" s="144" t="s">
        <v>159</v>
      </c>
      <c r="K30" s="144" t="s">
        <v>159</v>
      </c>
      <c r="L30" s="144" t="s">
        <v>159</v>
      </c>
      <c r="M30" s="144" t="s">
        <v>159</v>
      </c>
      <c r="N30" s="144">
        <v>2</v>
      </c>
      <c r="O30" s="144" t="s">
        <v>159</v>
      </c>
      <c r="P30" s="144" t="s">
        <v>159</v>
      </c>
      <c r="Q30" s="144" t="s">
        <v>159</v>
      </c>
      <c r="R30" s="144" t="s">
        <v>159</v>
      </c>
      <c r="S30" s="144" t="s">
        <v>159</v>
      </c>
      <c r="T30" s="144" t="s">
        <v>159</v>
      </c>
      <c r="U30" s="144" t="s">
        <v>159</v>
      </c>
      <c r="V30" s="144" t="s">
        <v>159</v>
      </c>
      <c r="W30" s="144" t="s">
        <v>159</v>
      </c>
      <c r="X30" s="144">
        <v>1</v>
      </c>
      <c r="Y30" s="145" t="s">
        <v>159</v>
      </c>
      <c r="AE30" s="140">
        <v>18</v>
      </c>
      <c r="AF30">
        <v>0</v>
      </c>
      <c r="AG30" s="123">
        <v>0</v>
      </c>
    </row>
    <row r="31" spans="1:33" ht="18">
      <c r="A31" s="128" t="s">
        <v>136</v>
      </c>
      <c r="B31" s="143" t="s">
        <v>159</v>
      </c>
      <c r="C31" s="144">
        <v>4</v>
      </c>
      <c r="D31" s="144" t="s">
        <v>159</v>
      </c>
      <c r="E31" s="144" t="s">
        <v>159</v>
      </c>
      <c r="F31" s="144" t="s">
        <v>159</v>
      </c>
      <c r="G31" s="144">
        <v>4</v>
      </c>
      <c r="H31" s="144" t="s">
        <v>159</v>
      </c>
      <c r="I31" s="144" t="s">
        <v>159</v>
      </c>
      <c r="J31" s="144" t="s">
        <v>159</v>
      </c>
      <c r="K31" s="144" t="s">
        <v>159</v>
      </c>
      <c r="L31" s="144" t="s">
        <v>159</v>
      </c>
      <c r="M31" s="144" t="s">
        <v>159</v>
      </c>
      <c r="N31" s="144" t="s">
        <v>159</v>
      </c>
      <c r="O31" s="144" t="s">
        <v>159</v>
      </c>
      <c r="P31" s="144" t="s">
        <v>159</v>
      </c>
      <c r="Q31" s="144" t="s">
        <v>159</v>
      </c>
      <c r="R31" s="144" t="s">
        <v>159</v>
      </c>
      <c r="S31" s="144" t="s">
        <v>159</v>
      </c>
      <c r="T31" s="144">
        <v>2</v>
      </c>
      <c r="U31" s="144" t="s">
        <v>159</v>
      </c>
      <c r="V31" s="144">
        <v>3</v>
      </c>
      <c r="W31" s="144" t="s">
        <v>159</v>
      </c>
      <c r="X31" s="144">
        <v>2</v>
      </c>
      <c r="Y31" s="145" t="s">
        <v>159</v>
      </c>
      <c r="AE31" s="140">
        <v>19</v>
      </c>
      <c r="AF31">
        <v>0</v>
      </c>
      <c r="AG31" s="123">
        <v>0</v>
      </c>
    </row>
    <row r="32" spans="1:33" ht="18">
      <c r="A32" s="128" t="s">
        <v>137</v>
      </c>
      <c r="B32" s="143" t="s">
        <v>159</v>
      </c>
      <c r="C32" s="144">
        <v>5</v>
      </c>
      <c r="D32" s="144" t="s">
        <v>159</v>
      </c>
      <c r="E32" s="144" t="s">
        <v>159</v>
      </c>
      <c r="F32" s="144" t="s">
        <v>159</v>
      </c>
      <c r="G32" s="144" t="s">
        <v>159</v>
      </c>
      <c r="H32" s="144" t="s">
        <v>159</v>
      </c>
      <c r="I32" s="144" t="s">
        <v>159</v>
      </c>
      <c r="J32" s="144" t="s">
        <v>159</v>
      </c>
      <c r="K32" s="144" t="s">
        <v>159</v>
      </c>
      <c r="L32" s="144" t="s">
        <v>159</v>
      </c>
      <c r="M32" s="144" t="s">
        <v>159</v>
      </c>
      <c r="N32" s="144">
        <v>4</v>
      </c>
      <c r="O32" s="144" t="s">
        <v>159</v>
      </c>
      <c r="P32" s="144" t="s">
        <v>159</v>
      </c>
      <c r="Q32" s="144" t="s">
        <v>159</v>
      </c>
      <c r="R32" s="144" t="s">
        <v>159</v>
      </c>
      <c r="S32" s="144" t="s">
        <v>159</v>
      </c>
      <c r="T32" s="144">
        <v>5</v>
      </c>
      <c r="U32" s="144" t="s">
        <v>159</v>
      </c>
      <c r="V32" s="144">
        <v>5</v>
      </c>
      <c r="W32" s="144" t="s">
        <v>159</v>
      </c>
      <c r="X32" s="144" t="s">
        <v>159</v>
      </c>
      <c r="Y32" s="145" t="s">
        <v>159</v>
      </c>
      <c r="AE32" s="140">
        <v>20</v>
      </c>
      <c r="AF32">
        <v>0</v>
      </c>
      <c r="AG32" s="123">
        <v>0</v>
      </c>
    </row>
    <row r="33" spans="1:33" ht="19" thickBot="1">
      <c r="A33" s="128" t="s">
        <v>138</v>
      </c>
      <c r="B33" s="143" t="s">
        <v>159</v>
      </c>
      <c r="C33" s="144">
        <v>1</v>
      </c>
      <c r="D33" s="144" t="s">
        <v>159</v>
      </c>
      <c r="E33" s="144" t="s">
        <v>159</v>
      </c>
      <c r="F33" s="144" t="s">
        <v>159</v>
      </c>
      <c r="G33" s="144">
        <v>3</v>
      </c>
      <c r="H33" s="144" t="s">
        <v>159</v>
      </c>
      <c r="I33" s="144" t="s">
        <v>159</v>
      </c>
      <c r="J33" s="144" t="s">
        <v>159</v>
      </c>
      <c r="K33" s="144" t="s">
        <v>159</v>
      </c>
      <c r="L33" s="144" t="s">
        <v>159</v>
      </c>
      <c r="M33" s="144" t="s">
        <v>159</v>
      </c>
      <c r="N33" s="144" t="s">
        <v>159</v>
      </c>
      <c r="O33" s="144" t="s">
        <v>159</v>
      </c>
      <c r="P33" s="144" t="s">
        <v>159</v>
      </c>
      <c r="Q33" s="144" t="s">
        <v>159</v>
      </c>
      <c r="R33" s="144" t="s">
        <v>159</v>
      </c>
      <c r="S33" s="144" t="s">
        <v>159</v>
      </c>
      <c r="T33" s="144">
        <v>4</v>
      </c>
      <c r="U33" s="144" t="s">
        <v>159</v>
      </c>
      <c r="V33" s="144">
        <v>7</v>
      </c>
      <c r="W33" s="144" t="s">
        <v>159</v>
      </c>
      <c r="X33" s="144" t="s">
        <v>159</v>
      </c>
      <c r="Y33" s="145" t="s">
        <v>159</v>
      </c>
      <c r="AE33" s="141" t="s">
        <v>159</v>
      </c>
      <c r="AF33" s="142">
        <v>0</v>
      </c>
      <c r="AG33" s="124">
        <v>0</v>
      </c>
    </row>
    <row r="34" spans="1:33" ht="18">
      <c r="A34" s="128" t="s">
        <v>139</v>
      </c>
      <c r="B34" s="143" t="s">
        <v>159</v>
      </c>
      <c r="C34" s="144">
        <v>7</v>
      </c>
      <c r="D34" s="144" t="s">
        <v>159</v>
      </c>
      <c r="E34" s="144" t="s">
        <v>159</v>
      </c>
      <c r="F34" s="144" t="s">
        <v>159</v>
      </c>
      <c r="G34" s="144">
        <v>7</v>
      </c>
      <c r="H34" s="144" t="s">
        <v>159</v>
      </c>
      <c r="I34" s="144" t="s">
        <v>159</v>
      </c>
      <c r="J34" s="144" t="s">
        <v>159</v>
      </c>
      <c r="K34" s="144" t="s">
        <v>159</v>
      </c>
      <c r="L34" s="144" t="s">
        <v>159</v>
      </c>
      <c r="M34" s="144" t="s">
        <v>159</v>
      </c>
      <c r="N34" s="144" t="s">
        <v>159</v>
      </c>
      <c r="O34" s="144" t="s">
        <v>159</v>
      </c>
      <c r="P34" s="144" t="s">
        <v>159</v>
      </c>
      <c r="Q34" s="144" t="s">
        <v>159</v>
      </c>
      <c r="R34" s="144" t="s">
        <v>159</v>
      </c>
      <c r="S34" s="144" t="s">
        <v>159</v>
      </c>
      <c r="T34" s="144">
        <v>8</v>
      </c>
      <c r="U34" s="144" t="s">
        <v>159</v>
      </c>
      <c r="V34" s="144">
        <v>2</v>
      </c>
      <c r="W34" s="144" t="s">
        <v>159</v>
      </c>
      <c r="X34" s="144">
        <v>6</v>
      </c>
      <c r="Y34" s="145" t="s">
        <v>159</v>
      </c>
    </row>
    <row r="35" spans="1:33" ht="18">
      <c r="A35" s="128" t="s">
        <v>140</v>
      </c>
      <c r="B35" s="143" t="s">
        <v>159</v>
      </c>
      <c r="C35" s="144" t="s">
        <v>159</v>
      </c>
      <c r="D35" s="144" t="s">
        <v>159</v>
      </c>
      <c r="E35" s="144" t="s">
        <v>159</v>
      </c>
      <c r="F35" s="144" t="s">
        <v>159</v>
      </c>
      <c r="G35" s="144" t="s">
        <v>159</v>
      </c>
      <c r="H35" s="144" t="s">
        <v>159</v>
      </c>
      <c r="I35" s="144" t="s">
        <v>159</v>
      </c>
      <c r="J35" s="144" t="s">
        <v>159</v>
      </c>
      <c r="K35" s="144" t="s">
        <v>159</v>
      </c>
      <c r="L35" s="144" t="s">
        <v>159</v>
      </c>
      <c r="M35" s="144" t="s">
        <v>159</v>
      </c>
      <c r="N35" s="144" t="s">
        <v>159</v>
      </c>
      <c r="O35" s="144" t="s">
        <v>159</v>
      </c>
      <c r="P35" s="144" t="s">
        <v>159</v>
      </c>
      <c r="Q35" s="144" t="s">
        <v>159</v>
      </c>
      <c r="R35" s="144" t="s">
        <v>159</v>
      </c>
      <c r="S35" s="144" t="s">
        <v>159</v>
      </c>
      <c r="T35" s="144">
        <v>6</v>
      </c>
      <c r="U35" s="144" t="s">
        <v>159</v>
      </c>
      <c r="V35" s="144" t="s">
        <v>159</v>
      </c>
      <c r="W35" s="144" t="s">
        <v>159</v>
      </c>
      <c r="X35" s="144" t="s">
        <v>159</v>
      </c>
      <c r="Y35" s="145" t="s">
        <v>159</v>
      </c>
    </row>
    <row r="36" spans="1:33" ht="18">
      <c r="A36" s="128" t="s">
        <v>141</v>
      </c>
      <c r="B36" s="143" t="s">
        <v>159</v>
      </c>
      <c r="C36" s="144" t="s">
        <v>159</v>
      </c>
      <c r="D36" s="144" t="s">
        <v>159</v>
      </c>
      <c r="E36" s="144" t="s">
        <v>159</v>
      </c>
      <c r="F36" s="144" t="s">
        <v>159</v>
      </c>
      <c r="G36" s="144" t="s">
        <v>159</v>
      </c>
      <c r="H36" s="144" t="s">
        <v>159</v>
      </c>
      <c r="I36" s="144" t="s">
        <v>159</v>
      </c>
      <c r="J36" s="144" t="s">
        <v>159</v>
      </c>
      <c r="K36" s="144" t="s">
        <v>159</v>
      </c>
      <c r="L36" s="144" t="s">
        <v>159</v>
      </c>
      <c r="M36" s="144" t="s">
        <v>159</v>
      </c>
      <c r="N36" s="144">
        <v>6</v>
      </c>
      <c r="O36" s="144" t="s">
        <v>159</v>
      </c>
      <c r="P36" s="144" t="s">
        <v>159</v>
      </c>
      <c r="Q36" s="144" t="s">
        <v>159</v>
      </c>
      <c r="R36" s="144" t="s">
        <v>159</v>
      </c>
      <c r="S36" s="144" t="s">
        <v>159</v>
      </c>
      <c r="T36" s="144">
        <v>3</v>
      </c>
      <c r="U36" s="144" t="s">
        <v>159</v>
      </c>
      <c r="V36" s="144" t="s">
        <v>159</v>
      </c>
      <c r="W36" s="144" t="s">
        <v>159</v>
      </c>
      <c r="X36" s="144">
        <v>8</v>
      </c>
      <c r="Y36" s="145" t="s">
        <v>159</v>
      </c>
    </row>
    <row r="37" spans="1:33" ht="18">
      <c r="A37" s="128" t="s">
        <v>142</v>
      </c>
      <c r="B37" s="143" t="s">
        <v>159</v>
      </c>
      <c r="C37" s="144" t="s">
        <v>159</v>
      </c>
      <c r="D37" s="144" t="s">
        <v>159</v>
      </c>
      <c r="E37" s="144" t="s">
        <v>159</v>
      </c>
      <c r="F37" s="144" t="s">
        <v>159</v>
      </c>
      <c r="G37" s="144" t="s">
        <v>159</v>
      </c>
      <c r="H37" s="144" t="s">
        <v>159</v>
      </c>
      <c r="I37" s="144" t="s">
        <v>159</v>
      </c>
      <c r="J37" s="144" t="s">
        <v>159</v>
      </c>
      <c r="K37" s="144" t="s">
        <v>159</v>
      </c>
      <c r="L37" s="144" t="s">
        <v>159</v>
      </c>
      <c r="M37" s="144" t="s">
        <v>159</v>
      </c>
      <c r="N37" s="144" t="s">
        <v>159</v>
      </c>
      <c r="O37" s="144" t="s">
        <v>159</v>
      </c>
      <c r="P37" s="144" t="s">
        <v>159</v>
      </c>
      <c r="Q37" s="144" t="s">
        <v>159</v>
      </c>
      <c r="R37" s="144" t="s">
        <v>159</v>
      </c>
      <c r="S37" s="144" t="s">
        <v>159</v>
      </c>
      <c r="T37" s="144" t="s">
        <v>159</v>
      </c>
      <c r="U37" s="144" t="s">
        <v>159</v>
      </c>
      <c r="V37" s="144">
        <v>6</v>
      </c>
      <c r="W37" s="144" t="s">
        <v>159</v>
      </c>
      <c r="X37" s="144">
        <v>7</v>
      </c>
      <c r="Y37" s="145" t="s">
        <v>159</v>
      </c>
    </row>
    <row r="38" spans="1:33" ht="18">
      <c r="A38" s="128" t="s">
        <v>143</v>
      </c>
      <c r="B38" s="143" t="s">
        <v>159</v>
      </c>
      <c r="C38" s="144" t="s">
        <v>159</v>
      </c>
      <c r="D38" s="144" t="s">
        <v>159</v>
      </c>
      <c r="E38" s="144" t="s">
        <v>159</v>
      </c>
      <c r="F38" s="144" t="s">
        <v>159</v>
      </c>
      <c r="G38" s="144" t="s">
        <v>159</v>
      </c>
      <c r="H38" s="144" t="s">
        <v>159</v>
      </c>
      <c r="I38" s="144" t="s">
        <v>159</v>
      </c>
      <c r="J38" s="144" t="s">
        <v>159</v>
      </c>
      <c r="K38" s="144" t="s">
        <v>159</v>
      </c>
      <c r="L38" s="144" t="s">
        <v>159</v>
      </c>
      <c r="M38" s="144" t="s">
        <v>159</v>
      </c>
      <c r="N38" s="144" t="s">
        <v>159</v>
      </c>
      <c r="O38" s="144" t="s">
        <v>159</v>
      </c>
      <c r="P38" s="144" t="s">
        <v>159</v>
      </c>
      <c r="Q38" s="144" t="s">
        <v>159</v>
      </c>
      <c r="R38" s="144" t="s">
        <v>159</v>
      </c>
      <c r="S38" s="144" t="s">
        <v>159</v>
      </c>
      <c r="T38" s="144" t="s">
        <v>159</v>
      </c>
      <c r="U38" s="144" t="s">
        <v>159</v>
      </c>
      <c r="V38" s="144" t="s">
        <v>159</v>
      </c>
      <c r="W38" s="144" t="s">
        <v>159</v>
      </c>
      <c r="X38" s="144" t="s">
        <v>159</v>
      </c>
      <c r="Y38" s="145" t="s">
        <v>159</v>
      </c>
    </row>
    <row r="39" spans="1:33" ht="18">
      <c r="A39" s="128" t="s">
        <v>144</v>
      </c>
      <c r="B39" s="143" t="s">
        <v>159</v>
      </c>
      <c r="C39" s="144" t="s">
        <v>159</v>
      </c>
      <c r="D39" s="144" t="s">
        <v>159</v>
      </c>
      <c r="E39" s="144" t="s">
        <v>159</v>
      </c>
      <c r="F39" s="144" t="s">
        <v>159</v>
      </c>
      <c r="G39" s="144" t="s">
        <v>159</v>
      </c>
      <c r="H39" s="144" t="s">
        <v>159</v>
      </c>
      <c r="I39" s="144" t="s">
        <v>159</v>
      </c>
      <c r="J39" s="144" t="s">
        <v>159</v>
      </c>
      <c r="K39" s="144" t="s">
        <v>159</v>
      </c>
      <c r="L39" s="144" t="s">
        <v>159</v>
      </c>
      <c r="M39" s="144" t="s">
        <v>159</v>
      </c>
      <c r="N39" s="144">
        <v>8</v>
      </c>
      <c r="O39" s="144" t="s">
        <v>159</v>
      </c>
      <c r="P39" s="144" t="s">
        <v>159</v>
      </c>
      <c r="Q39" s="144" t="s">
        <v>159</v>
      </c>
      <c r="R39" s="144" t="s">
        <v>159</v>
      </c>
      <c r="S39" s="144" t="s">
        <v>159</v>
      </c>
      <c r="T39" s="144" t="s">
        <v>159</v>
      </c>
      <c r="U39" s="144" t="s">
        <v>159</v>
      </c>
      <c r="V39" s="144" t="s">
        <v>159</v>
      </c>
      <c r="W39" s="144" t="s">
        <v>159</v>
      </c>
      <c r="X39" s="144" t="s">
        <v>159</v>
      </c>
      <c r="Y39" s="145" t="s">
        <v>159</v>
      </c>
    </row>
    <row r="40" spans="1:33" ht="18">
      <c r="A40" s="128" t="s">
        <v>145</v>
      </c>
      <c r="B40" s="143" t="s">
        <v>159</v>
      </c>
      <c r="C40" s="144" t="s">
        <v>159</v>
      </c>
      <c r="D40" s="144" t="s">
        <v>159</v>
      </c>
      <c r="E40" s="144" t="s">
        <v>159</v>
      </c>
      <c r="F40" s="144" t="s">
        <v>159</v>
      </c>
      <c r="G40" s="144" t="s">
        <v>159</v>
      </c>
      <c r="H40" s="144" t="s">
        <v>159</v>
      </c>
      <c r="I40" s="144" t="s">
        <v>159</v>
      </c>
      <c r="J40" s="144" t="s">
        <v>159</v>
      </c>
      <c r="K40" s="144" t="s">
        <v>159</v>
      </c>
      <c r="L40" s="144" t="s">
        <v>159</v>
      </c>
      <c r="M40" s="144" t="s">
        <v>159</v>
      </c>
      <c r="N40" s="144">
        <v>7</v>
      </c>
      <c r="O40" s="144" t="s">
        <v>159</v>
      </c>
      <c r="P40" s="144" t="s">
        <v>159</v>
      </c>
      <c r="Q40" s="144" t="s">
        <v>159</v>
      </c>
      <c r="R40" s="144" t="s">
        <v>159</v>
      </c>
      <c r="S40" s="144" t="s">
        <v>159</v>
      </c>
      <c r="T40" s="144" t="s">
        <v>159</v>
      </c>
      <c r="U40" s="144" t="s">
        <v>159</v>
      </c>
      <c r="V40" s="144" t="s">
        <v>159</v>
      </c>
      <c r="W40" s="144" t="s">
        <v>159</v>
      </c>
      <c r="X40" s="144" t="s">
        <v>159</v>
      </c>
      <c r="Y40" s="145" t="s">
        <v>159</v>
      </c>
    </row>
    <row r="41" spans="1:33" ht="18">
      <c r="A41" s="128" t="s">
        <v>146</v>
      </c>
      <c r="B41" s="143" t="s">
        <v>159</v>
      </c>
      <c r="C41" s="144" t="s">
        <v>159</v>
      </c>
      <c r="D41" s="144" t="s">
        <v>159</v>
      </c>
      <c r="E41" s="144" t="s">
        <v>159</v>
      </c>
      <c r="F41" s="144" t="s">
        <v>159</v>
      </c>
      <c r="G41" s="144" t="s">
        <v>159</v>
      </c>
      <c r="H41" s="144" t="s">
        <v>159</v>
      </c>
      <c r="I41" s="144" t="s">
        <v>159</v>
      </c>
      <c r="J41" s="144" t="s">
        <v>159</v>
      </c>
      <c r="K41" s="144" t="s">
        <v>159</v>
      </c>
      <c r="L41" s="144" t="s">
        <v>159</v>
      </c>
      <c r="M41" s="144" t="s">
        <v>159</v>
      </c>
      <c r="N41" s="144" t="s">
        <v>159</v>
      </c>
      <c r="O41" s="144" t="s">
        <v>159</v>
      </c>
      <c r="P41" s="144" t="s">
        <v>159</v>
      </c>
      <c r="Q41" s="144" t="s">
        <v>159</v>
      </c>
      <c r="R41" s="144" t="s">
        <v>159</v>
      </c>
      <c r="S41" s="144" t="s">
        <v>159</v>
      </c>
      <c r="T41" s="144" t="s">
        <v>159</v>
      </c>
      <c r="U41" s="144" t="s">
        <v>159</v>
      </c>
      <c r="V41" s="144" t="s">
        <v>159</v>
      </c>
      <c r="W41" s="144" t="s">
        <v>159</v>
      </c>
      <c r="X41" s="144" t="s">
        <v>159</v>
      </c>
      <c r="Y41" s="145" t="s">
        <v>159</v>
      </c>
    </row>
    <row r="42" spans="1:33" ht="18">
      <c r="A42" s="128" t="s">
        <v>147</v>
      </c>
      <c r="B42" s="143" t="s">
        <v>159</v>
      </c>
      <c r="C42" s="144" t="s">
        <v>159</v>
      </c>
      <c r="D42" s="144" t="s">
        <v>159</v>
      </c>
      <c r="E42" s="144" t="s">
        <v>159</v>
      </c>
      <c r="F42" s="144" t="s">
        <v>159</v>
      </c>
      <c r="G42" s="144" t="s">
        <v>159</v>
      </c>
      <c r="H42" s="144" t="s">
        <v>159</v>
      </c>
      <c r="I42" s="144" t="s">
        <v>159</v>
      </c>
      <c r="J42" s="144" t="s">
        <v>159</v>
      </c>
      <c r="K42" s="144" t="s">
        <v>159</v>
      </c>
      <c r="L42" s="144" t="s">
        <v>159</v>
      </c>
      <c r="M42" s="144" t="s">
        <v>159</v>
      </c>
      <c r="N42" s="144">
        <v>5</v>
      </c>
      <c r="O42" s="144" t="s">
        <v>159</v>
      </c>
      <c r="P42" s="144" t="s">
        <v>159</v>
      </c>
      <c r="Q42" s="144" t="s">
        <v>159</v>
      </c>
      <c r="R42" s="144" t="s">
        <v>159</v>
      </c>
      <c r="S42" s="144" t="s">
        <v>159</v>
      </c>
      <c r="T42" s="144" t="s">
        <v>159</v>
      </c>
      <c r="U42" s="144" t="s">
        <v>159</v>
      </c>
      <c r="V42" s="144" t="s">
        <v>159</v>
      </c>
      <c r="W42" s="144" t="s">
        <v>159</v>
      </c>
      <c r="X42" s="144" t="s">
        <v>159</v>
      </c>
      <c r="Y42" s="145" t="s">
        <v>159</v>
      </c>
    </row>
    <row r="43" spans="1:33" ht="18">
      <c r="A43" s="128" t="s">
        <v>148</v>
      </c>
      <c r="B43" s="143" t="s">
        <v>159</v>
      </c>
      <c r="C43" s="144" t="s">
        <v>159</v>
      </c>
      <c r="D43" s="144" t="s">
        <v>159</v>
      </c>
      <c r="E43" s="144" t="s">
        <v>159</v>
      </c>
      <c r="F43" s="144" t="s">
        <v>159</v>
      </c>
      <c r="G43" s="144">
        <v>5</v>
      </c>
      <c r="H43" s="144" t="s">
        <v>159</v>
      </c>
      <c r="I43" s="144" t="s">
        <v>159</v>
      </c>
      <c r="J43" s="144" t="s">
        <v>159</v>
      </c>
      <c r="K43" s="144" t="s">
        <v>159</v>
      </c>
      <c r="L43" s="144" t="s">
        <v>159</v>
      </c>
      <c r="M43" s="144" t="s">
        <v>159</v>
      </c>
      <c r="N43" s="144" t="s">
        <v>159</v>
      </c>
      <c r="O43" s="144" t="s">
        <v>159</v>
      </c>
      <c r="P43" s="144" t="s">
        <v>159</v>
      </c>
      <c r="Q43" s="144" t="s">
        <v>159</v>
      </c>
      <c r="R43" s="144" t="s">
        <v>159</v>
      </c>
      <c r="S43" s="144" t="s">
        <v>159</v>
      </c>
      <c r="T43" s="144" t="s">
        <v>159</v>
      </c>
      <c r="U43" s="144" t="s">
        <v>159</v>
      </c>
      <c r="V43" s="144" t="s">
        <v>159</v>
      </c>
      <c r="W43" s="144" t="s">
        <v>159</v>
      </c>
      <c r="X43" s="144" t="s">
        <v>159</v>
      </c>
      <c r="Y43" s="145" t="s">
        <v>159</v>
      </c>
    </row>
    <row r="44" spans="1:33" ht="18">
      <c r="A44" s="128" t="s">
        <v>149</v>
      </c>
      <c r="B44" s="143" t="s">
        <v>159</v>
      </c>
      <c r="C44" s="144">
        <v>6</v>
      </c>
      <c r="D44" s="144" t="s">
        <v>159</v>
      </c>
      <c r="E44" s="144" t="s">
        <v>159</v>
      </c>
      <c r="F44" s="144" t="s">
        <v>159</v>
      </c>
      <c r="G44" s="144">
        <v>6</v>
      </c>
      <c r="H44" s="144" t="s">
        <v>159</v>
      </c>
      <c r="I44" s="144" t="s">
        <v>159</v>
      </c>
      <c r="J44" s="144" t="s">
        <v>159</v>
      </c>
      <c r="K44" s="144" t="s">
        <v>159</v>
      </c>
      <c r="L44" s="144" t="s">
        <v>159</v>
      </c>
      <c r="M44" s="144" t="s">
        <v>159</v>
      </c>
      <c r="N44" s="144" t="s">
        <v>159</v>
      </c>
      <c r="O44" s="144" t="s">
        <v>159</v>
      </c>
      <c r="P44" s="144" t="s">
        <v>159</v>
      </c>
      <c r="Q44" s="144" t="s">
        <v>159</v>
      </c>
      <c r="R44" s="144" t="s">
        <v>159</v>
      </c>
      <c r="S44" s="144" t="s">
        <v>159</v>
      </c>
      <c r="T44" s="144">
        <v>7</v>
      </c>
      <c r="U44" s="144" t="s">
        <v>159</v>
      </c>
      <c r="V44" s="144" t="s">
        <v>159</v>
      </c>
      <c r="W44" s="144" t="s">
        <v>159</v>
      </c>
      <c r="X44" s="144">
        <v>5</v>
      </c>
      <c r="Y44" s="145" t="s">
        <v>159</v>
      </c>
    </row>
    <row r="45" spans="1:33" ht="18">
      <c r="A45" s="128" t="s">
        <v>150</v>
      </c>
      <c r="B45" s="143" t="s">
        <v>159</v>
      </c>
      <c r="C45" s="144" t="s">
        <v>159</v>
      </c>
      <c r="D45" s="144" t="s">
        <v>159</v>
      </c>
      <c r="E45" s="144" t="s">
        <v>159</v>
      </c>
      <c r="F45" s="144" t="s">
        <v>159</v>
      </c>
      <c r="G45" s="144">
        <v>8</v>
      </c>
      <c r="H45" s="144" t="s">
        <v>159</v>
      </c>
      <c r="I45" s="144" t="s">
        <v>159</v>
      </c>
      <c r="J45" s="144" t="s">
        <v>159</v>
      </c>
      <c r="K45" s="144" t="s">
        <v>159</v>
      </c>
      <c r="L45" s="144" t="s">
        <v>159</v>
      </c>
      <c r="M45" s="144" t="s">
        <v>159</v>
      </c>
      <c r="N45" s="144" t="s">
        <v>159</v>
      </c>
      <c r="O45" s="144" t="s">
        <v>159</v>
      </c>
      <c r="P45" s="144" t="s">
        <v>159</v>
      </c>
      <c r="Q45" s="144" t="s">
        <v>159</v>
      </c>
      <c r="R45" s="144" t="s">
        <v>159</v>
      </c>
      <c r="S45" s="144" t="s">
        <v>159</v>
      </c>
      <c r="T45" s="144" t="s">
        <v>159</v>
      </c>
      <c r="U45" s="144" t="s">
        <v>159</v>
      </c>
      <c r="V45" s="144">
        <v>8</v>
      </c>
      <c r="W45" s="144" t="s">
        <v>159</v>
      </c>
      <c r="X45" s="144" t="s">
        <v>159</v>
      </c>
      <c r="Y45" s="145" t="s">
        <v>159</v>
      </c>
    </row>
    <row r="46" spans="1:33" ht="18">
      <c r="A46" s="128" t="s">
        <v>151</v>
      </c>
      <c r="B46" s="143" t="s">
        <v>159</v>
      </c>
      <c r="C46" s="144" t="s">
        <v>159</v>
      </c>
      <c r="D46" s="144" t="s">
        <v>159</v>
      </c>
      <c r="E46" s="144" t="s">
        <v>159</v>
      </c>
      <c r="F46" s="144" t="s">
        <v>159</v>
      </c>
      <c r="G46" s="144" t="s">
        <v>159</v>
      </c>
      <c r="H46" s="144" t="s">
        <v>159</v>
      </c>
      <c r="I46" s="144" t="s">
        <v>159</v>
      </c>
      <c r="J46" s="144" t="s">
        <v>159</v>
      </c>
      <c r="K46" s="144" t="s">
        <v>159</v>
      </c>
      <c r="L46" s="144" t="s">
        <v>159</v>
      </c>
      <c r="M46" s="144" t="s">
        <v>159</v>
      </c>
      <c r="N46" s="144" t="s">
        <v>159</v>
      </c>
      <c r="O46" s="144" t="s">
        <v>159</v>
      </c>
      <c r="P46" s="144" t="s">
        <v>159</v>
      </c>
      <c r="Q46" s="144" t="s">
        <v>159</v>
      </c>
      <c r="R46" s="144" t="s">
        <v>159</v>
      </c>
      <c r="S46" s="144" t="s">
        <v>159</v>
      </c>
      <c r="T46" s="144" t="s">
        <v>159</v>
      </c>
      <c r="U46" s="144" t="s">
        <v>159</v>
      </c>
      <c r="V46" s="144" t="s">
        <v>159</v>
      </c>
      <c r="W46" s="144" t="s">
        <v>159</v>
      </c>
      <c r="X46" s="144" t="s">
        <v>159</v>
      </c>
      <c r="Y46" s="145" t="s">
        <v>159</v>
      </c>
    </row>
    <row r="47" spans="1:33" ht="18">
      <c r="A47" s="128" t="s">
        <v>152</v>
      </c>
      <c r="B47" s="143" t="s">
        <v>159</v>
      </c>
      <c r="C47" s="144" t="s">
        <v>159</v>
      </c>
      <c r="D47" s="144" t="s">
        <v>159</v>
      </c>
      <c r="E47" s="144" t="s">
        <v>159</v>
      </c>
      <c r="F47" s="144" t="s">
        <v>159</v>
      </c>
      <c r="G47" s="144" t="s">
        <v>159</v>
      </c>
      <c r="H47" s="144" t="s">
        <v>159</v>
      </c>
      <c r="I47" s="144" t="s">
        <v>159</v>
      </c>
      <c r="J47" s="144" t="s">
        <v>159</v>
      </c>
      <c r="K47" s="144" t="s">
        <v>159</v>
      </c>
      <c r="L47" s="144" t="s">
        <v>159</v>
      </c>
      <c r="M47" s="144" t="s">
        <v>159</v>
      </c>
      <c r="N47" s="144" t="s">
        <v>159</v>
      </c>
      <c r="O47" s="144" t="s">
        <v>159</v>
      </c>
      <c r="P47" s="144" t="s">
        <v>159</v>
      </c>
      <c r="Q47" s="144" t="s">
        <v>159</v>
      </c>
      <c r="R47" s="144" t="s">
        <v>159</v>
      </c>
      <c r="S47" s="144" t="s">
        <v>159</v>
      </c>
      <c r="T47" s="144" t="s">
        <v>159</v>
      </c>
      <c r="U47" s="144" t="s">
        <v>159</v>
      </c>
      <c r="V47" s="144" t="s">
        <v>159</v>
      </c>
      <c r="W47" s="144" t="s">
        <v>159</v>
      </c>
      <c r="X47" s="144" t="s">
        <v>159</v>
      </c>
      <c r="Y47" s="145" t="s">
        <v>159</v>
      </c>
    </row>
    <row r="48" spans="1:33" ht="19" thickBot="1">
      <c r="A48" s="129" t="s">
        <v>153</v>
      </c>
      <c r="B48" s="146" t="s">
        <v>159</v>
      </c>
      <c r="C48" s="147" t="s">
        <v>159</v>
      </c>
      <c r="D48" s="147" t="s">
        <v>159</v>
      </c>
      <c r="E48" s="147" t="s">
        <v>159</v>
      </c>
      <c r="F48" s="147" t="s">
        <v>159</v>
      </c>
      <c r="G48" s="147" t="s">
        <v>159</v>
      </c>
      <c r="H48" s="147" t="s">
        <v>159</v>
      </c>
      <c r="I48" s="147" t="s">
        <v>159</v>
      </c>
      <c r="J48" s="147" t="s">
        <v>159</v>
      </c>
      <c r="K48" s="147" t="s">
        <v>159</v>
      </c>
      <c r="L48" s="147" t="s">
        <v>159</v>
      </c>
      <c r="M48" s="147" t="s">
        <v>159</v>
      </c>
      <c r="N48" s="147" t="s">
        <v>159</v>
      </c>
      <c r="O48" s="147" t="s">
        <v>159</v>
      </c>
      <c r="P48" s="147" t="s">
        <v>159</v>
      </c>
      <c r="Q48" s="147" t="s">
        <v>159</v>
      </c>
      <c r="R48" s="147" t="s">
        <v>159</v>
      </c>
      <c r="S48" s="147" t="s">
        <v>159</v>
      </c>
      <c r="T48" s="147" t="s">
        <v>159</v>
      </c>
      <c r="U48" s="147" t="s">
        <v>159</v>
      </c>
      <c r="V48" s="147" t="s">
        <v>159</v>
      </c>
      <c r="W48" s="147" t="s">
        <v>159</v>
      </c>
      <c r="X48" s="147" t="s">
        <v>159</v>
      </c>
      <c r="Y48" s="148" t="s">
        <v>159</v>
      </c>
    </row>
    <row r="49" spans="1:28">
      <c r="A49" s="7"/>
    </row>
    <row r="50" spans="1:28">
      <c r="A50" s="7"/>
      <c r="B50" s="144" t="s">
        <v>160</v>
      </c>
      <c r="C50" s="144" t="s">
        <v>161</v>
      </c>
    </row>
    <row r="51" spans="1:28">
      <c r="A51" s="7"/>
      <c r="B51">
        <f>VLOOKUP(VLOOKUP(A60,A2:Y23,2, ), AE12:AG22, 2,TRUE )</f>
        <v>25</v>
      </c>
      <c r="C51">
        <f>VLOOKUP(VLOOKUP(A60,A27:Y48,2, ), AE12:AG33, 3,TRUE )</f>
        <v>0</v>
      </c>
    </row>
    <row r="52" spans="1:28">
      <c r="A52" s="7"/>
      <c r="B52">
        <f>VLOOKUP(VLOOKUP(A60,A2:Y23,2, ), AE12:AG22, 2,TRUE ) + VLOOKUP(VLOOKUP(A60,A27:Y48,2, ), AE12:AG33, 3,TRUE )</f>
        <v>25</v>
      </c>
    </row>
    <row r="53" spans="1:28">
      <c r="A53" s="7"/>
      <c r="B53">
        <f>_xlfn.LET(
    _xlpm.race_pos, VLOOKUP(A60, $A$2:$Y$23, (B$59 + 1), FALSE),
    _xlpm.sprint_pos, VLOOKUP(A60, $A$27:$Y$48, (B$59 + 1), FALSE),
    _xlpm.race_pts, VLOOKUP(_xlpm.race_pos, $AE$12:$AG$33, 2, TRUE),
    _xlpm.sprint_pts, VLOOKUP(_xlpm.sprint_pos, $AE$12:$AG$33, 3, TRUE),
    _xlpm.race_pts + _xlpm.sprint_pts
)</f>
        <v>25</v>
      </c>
    </row>
    <row r="54" spans="1:28">
      <c r="A54" s="7"/>
    </row>
    <row r="55" spans="1:28">
      <c r="A55" s="7"/>
    </row>
    <row r="56" spans="1:28" ht="18">
      <c r="A56" s="7"/>
      <c r="Y56" s="117"/>
    </row>
    <row r="57" spans="1:28" ht="18">
      <c r="A57" s="7"/>
      <c r="Y57" s="117"/>
    </row>
    <row r="58" spans="1:28" ht="18">
      <c r="A58" s="7"/>
      <c r="Y58" s="117"/>
    </row>
    <row r="59" spans="1:28" ht="16" customHeight="1">
      <c r="A59" s="7" t="s">
        <v>155</v>
      </c>
      <c r="B59">
        <v>1</v>
      </c>
      <c r="C59">
        <v>2</v>
      </c>
      <c r="D59">
        <v>3</v>
      </c>
      <c r="E59">
        <v>4</v>
      </c>
      <c r="F59">
        <v>5</v>
      </c>
      <c r="G59">
        <v>6</v>
      </c>
      <c r="H59">
        <v>7</v>
      </c>
      <c r="I59">
        <v>8</v>
      </c>
      <c r="J59">
        <v>9</v>
      </c>
      <c r="K59">
        <v>10</v>
      </c>
      <c r="L59">
        <v>11</v>
      </c>
      <c r="M59">
        <v>12</v>
      </c>
      <c r="N59">
        <v>13</v>
      </c>
      <c r="O59">
        <v>14</v>
      </c>
      <c r="P59">
        <v>15</v>
      </c>
      <c r="Q59">
        <v>16</v>
      </c>
      <c r="R59">
        <v>17</v>
      </c>
      <c r="S59">
        <v>18</v>
      </c>
      <c r="T59">
        <v>19</v>
      </c>
      <c r="U59">
        <v>20</v>
      </c>
      <c r="V59">
        <v>21</v>
      </c>
      <c r="W59">
        <v>22</v>
      </c>
      <c r="X59">
        <v>23</v>
      </c>
      <c r="Y59" s="117">
        <v>24</v>
      </c>
      <c r="Z59" t="s">
        <v>132</v>
      </c>
      <c r="AA59" t="s">
        <v>162</v>
      </c>
      <c r="AB59" t="s">
        <v>163</v>
      </c>
    </row>
    <row r="60" spans="1:28" ht="16" customHeight="1">
      <c r="A60" s="117" t="s">
        <v>133</v>
      </c>
      <c r="B60">
        <f>_xlfn.LET(
    _xlpm.race_pos, VLOOKUP($A60, $A$2:$Y$23, (B$59 + 1), FALSE),
    _xlpm.sprint_pos, VLOOKUP($A60, $A$27:$Y$48, (B$59 + 1), FALSE),
    _xlpm.race_pts, VLOOKUP(_xlpm.race_pos, $AE$12:$AG$33, 2, TRUE),
    _xlpm.sprint_pts, VLOOKUP(_xlpm.sprint_pos, $AE$12:$AG$33, 3, TRUE),
    _xlpm.race_pts + _xlpm.sprint_pts
)</f>
        <v>25</v>
      </c>
      <c r="C60">
        <f t="shared" ref="C60:Y60" si="0">_xlfn.LET(
    _xlpm.race_pos, VLOOKUP($A$60, $A$2:$Y$23, (C$59 + 1), FALSE),
    _xlpm.sprint_pos, VLOOKUP($A$60, $A$27:$Y$48, (C$59 + 1), FALSE),
    _xlpm.race_pts, VLOOKUP(_xlpm.race_pos, $AE$12:$AG$33, 2, TRUE),
    _xlpm.sprint_pts, VLOOKUP(_xlpm.sprint_pos, $AE$12:$AG$33, 3, TRUE),
    _xlpm.race_pts + _xlpm.sprint_pts
)</f>
        <v>19</v>
      </c>
      <c r="D60">
        <f t="shared" si="0"/>
        <v>18</v>
      </c>
      <c r="E60">
        <f t="shared" si="0"/>
        <v>15</v>
      </c>
      <c r="F60">
        <f t="shared" si="0"/>
        <v>12</v>
      </c>
      <c r="G60">
        <f t="shared" si="0"/>
        <v>26</v>
      </c>
      <c r="H60">
        <f t="shared" si="0"/>
        <v>18</v>
      </c>
      <c r="I60">
        <f t="shared" si="0"/>
        <v>25</v>
      </c>
      <c r="J60">
        <f t="shared" si="0"/>
        <v>18</v>
      </c>
      <c r="K60">
        <f t="shared" si="0"/>
        <v>0</v>
      </c>
      <c r="L60">
        <f t="shared" si="0"/>
        <v>25</v>
      </c>
      <c r="M60">
        <f t="shared" si="0"/>
        <v>25</v>
      </c>
      <c r="N60">
        <f t="shared" si="0"/>
        <v>24</v>
      </c>
      <c r="O60">
        <f t="shared" si="0"/>
        <v>25</v>
      </c>
      <c r="P60">
        <f t="shared" si="0"/>
        <v>0</v>
      </c>
      <c r="Q60">
        <f t="shared" si="0"/>
        <v>18</v>
      </c>
      <c r="R60">
        <f t="shared" si="0"/>
        <v>6</v>
      </c>
      <c r="S60">
        <f t="shared" si="0"/>
        <v>15</v>
      </c>
      <c r="T60">
        <f t="shared" si="0"/>
        <v>18</v>
      </c>
      <c r="U60">
        <f t="shared" si="0"/>
        <v>25</v>
      </c>
      <c r="V60">
        <f t="shared" si="0"/>
        <v>33</v>
      </c>
      <c r="W60">
        <f t="shared" si="0"/>
        <v>0</v>
      </c>
      <c r="X60">
        <f t="shared" si="0"/>
        <v>18</v>
      </c>
      <c r="Y60">
        <f t="shared" si="0"/>
        <v>15</v>
      </c>
      <c r="Z60">
        <f>SUM(B60:Y60)</f>
        <v>423</v>
      </c>
      <c r="AA60" s="116">
        <v>423</v>
      </c>
      <c r="AB60">
        <f>Z60-AA60</f>
        <v>0</v>
      </c>
    </row>
    <row r="61" spans="1:28" ht="18">
      <c r="A61" s="117" t="s">
        <v>134</v>
      </c>
      <c r="B61">
        <f t="shared" ref="B61:Q81" si="1">_xlfn.LET(
    _xlpm.race_pos, VLOOKUP($A61, $A$2:$Y$23, (B$59 + 1), FALSE),
    _xlpm.sprint_pos, VLOOKUP($A61, $A$27:$Y$48, (B$59 + 1), FALSE),
    _xlpm.race_pts, VLOOKUP(_xlpm.race_pos, $AE$12:$AG$33, 2, TRUE),
    _xlpm.sprint_pts, VLOOKUP(_xlpm.sprint_pos, $AE$12:$AG$33, 3, TRUE),
    _xlpm.race_pts + _xlpm.sprint_pts
)</f>
        <v>18</v>
      </c>
      <c r="C61">
        <f t="shared" si="1"/>
        <v>18</v>
      </c>
      <c r="D61">
        <f t="shared" si="1"/>
        <v>25</v>
      </c>
      <c r="E61">
        <f t="shared" si="1"/>
        <v>8</v>
      </c>
      <c r="F61">
        <f t="shared" si="1"/>
        <v>18</v>
      </c>
      <c r="G61">
        <f t="shared" si="1"/>
        <v>12</v>
      </c>
      <c r="H61">
        <f t="shared" si="1"/>
        <v>25</v>
      </c>
      <c r="I61">
        <f t="shared" si="1"/>
        <v>12</v>
      </c>
      <c r="J61">
        <f t="shared" si="1"/>
        <v>1</v>
      </c>
      <c r="K61">
        <f t="shared" si="1"/>
        <v>18</v>
      </c>
      <c r="L61">
        <f t="shared" si="1"/>
        <v>0</v>
      </c>
      <c r="M61">
        <f t="shared" si="1"/>
        <v>10</v>
      </c>
      <c r="N61">
        <f t="shared" si="1"/>
        <v>20</v>
      </c>
      <c r="O61">
        <f t="shared" si="1"/>
        <v>2</v>
      </c>
      <c r="P61">
        <f t="shared" si="1"/>
        <v>18</v>
      </c>
      <c r="Q61">
        <f t="shared" si="1"/>
        <v>25</v>
      </c>
      <c r="R61">
        <f t="shared" ref="C61:Y72" si="2">_xlfn.LET(
    _xlpm.race_pos, VLOOKUP($A61, $A$2:$Y$23, (R$59 + 1), FALSE),
    _xlpm.sprint_pos, VLOOKUP($A61, $A$27:$Y$48, (R$59 + 1), FALSE),
    _xlpm.race_pts, VLOOKUP(_xlpm.race_pos, $AE$12:$AG$33, 2, TRUE),
    _xlpm.sprint_pts, VLOOKUP(_xlpm.sprint_pos, $AE$12:$AG$33, 3, TRUE),
    _xlpm.race_pts + _xlpm.sprint_pts
)</f>
        <v>25</v>
      </c>
      <c r="S61">
        <f t="shared" si="2"/>
        <v>18</v>
      </c>
      <c r="T61">
        <f t="shared" si="2"/>
        <v>33</v>
      </c>
      <c r="U61">
        <f t="shared" si="2"/>
        <v>15</v>
      </c>
      <c r="V61">
        <f t="shared" si="2"/>
        <v>20</v>
      </c>
      <c r="W61">
        <f t="shared" si="2"/>
        <v>25</v>
      </c>
      <c r="X61">
        <f t="shared" si="2"/>
        <v>30</v>
      </c>
      <c r="Y61">
        <f t="shared" si="2"/>
        <v>25</v>
      </c>
      <c r="Z61">
        <f t="shared" ref="Z61:Z81" si="3">SUM(B61:Y61)</f>
        <v>421</v>
      </c>
      <c r="AA61" s="116">
        <v>421</v>
      </c>
      <c r="AB61">
        <f t="shared" ref="AB61:AB81" si="4">Z61-AA61</f>
        <v>0</v>
      </c>
    </row>
    <row r="62" spans="1:28" ht="18">
      <c r="A62" s="117" t="s">
        <v>135</v>
      </c>
      <c r="B62">
        <f t="shared" si="1"/>
        <v>2</v>
      </c>
      <c r="C62">
        <f t="shared" si="2"/>
        <v>32</v>
      </c>
      <c r="D62">
        <f t="shared" si="2"/>
        <v>15</v>
      </c>
      <c r="E62">
        <f t="shared" si="2"/>
        <v>25</v>
      </c>
      <c r="F62">
        <f t="shared" si="2"/>
        <v>25</v>
      </c>
      <c r="G62">
        <f t="shared" si="2"/>
        <v>32</v>
      </c>
      <c r="H62">
        <f t="shared" si="2"/>
        <v>15</v>
      </c>
      <c r="I62">
        <f t="shared" si="2"/>
        <v>15</v>
      </c>
      <c r="J62">
        <f t="shared" si="2"/>
        <v>25</v>
      </c>
      <c r="K62">
        <f t="shared" si="2"/>
        <v>12</v>
      </c>
      <c r="L62">
        <f t="shared" si="2"/>
        <v>18</v>
      </c>
      <c r="M62">
        <f t="shared" si="2"/>
        <v>18</v>
      </c>
      <c r="N62">
        <f t="shared" si="2"/>
        <v>32</v>
      </c>
      <c r="O62">
        <f t="shared" si="2"/>
        <v>18</v>
      </c>
      <c r="P62">
        <f t="shared" si="2"/>
        <v>25</v>
      </c>
      <c r="Q62">
        <f t="shared" si="2"/>
        <v>15</v>
      </c>
      <c r="R62">
        <f t="shared" si="2"/>
        <v>0</v>
      </c>
      <c r="S62">
        <f t="shared" si="2"/>
        <v>12</v>
      </c>
      <c r="T62">
        <f t="shared" si="2"/>
        <v>10</v>
      </c>
      <c r="U62">
        <f t="shared" si="2"/>
        <v>10</v>
      </c>
      <c r="V62">
        <f t="shared" si="2"/>
        <v>10</v>
      </c>
      <c r="W62">
        <f t="shared" si="2"/>
        <v>0</v>
      </c>
      <c r="X62">
        <f t="shared" si="2"/>
        <v>26</v>
      </c>
      <c r="Y62">
        <f t="shared" si="2"/>
        <v>18</v>
      </c>
      <c r="Z62">
        <f t="shared" si="3"/>
        <v>410</v>
      </c>
      <c r="AA62" s="116">
        <v>410</v>
      </c>
      <c r="AB62">
        <f t="shared" si="4"/>
        <v>0</v>
      </c>
    </row>
    <row r="63" spans="1:28" ht="18">
      <c r="A63" s="117" t="s">
        <v>136</v>
      </c>
      <c r="B63">
        <f t="shared" si="1"/>
        <v>15</v>
      </c>
      <c r="C63">
        <f t="shared" si="2"/>
        <v>20</v>
      </c>
      <c r="D63">
        <f t="shared" si="2"/>
        <v>10</v>
      </c>
      <c r="E63">
        <f t="shared" si="2"/>
        <v>18</v>
      </c>
      <c r="F63">
        <f t="shared" si="2"/>
        <v>10</v>
      </c>
      <c r="G63">
        <f t="shared" si="2"/>
        <v>20</v>
      </c>
      <c r="H63">
        <f t="shared" si="2"/>
        <v>6</v>
      </c>
      <c r="I63">
        <f t="shared" si="2"/>
        <v>0</v>
      </c>
      <c r="J63">
        <f t="shared" si="2"/>
        <v>12</v>
      </c>
      <c r="K63">
        <f t="shared" si="2"/>
        <v>25</v>
      </c>
      <c r="L63">
        <f t="shared" si="2"/>
        <v>10</v>
      </c>
      <c r="M63">
        <f t="shared" si="2"/>
        <v>1</v>
      </c>
      <c r="N63">
        <f t="shared" si="2"/>
        <v>10</v>
      </c>
      <c r="O63">
        <f t="shared" si="2"/>
        <v>15</v>
      </c>
      <c r="P63">
        <f t="shared" si="2"/>
        <v>12</v>
      </c>
      <c r="Q63">
        <f t="shared" si="2"/>
        <v>10</v>
      </c>
      <c r="R63">
        <f t="shared" si="2"/>
        <v>18</v>
      </c>
      <c r="S63">
        <f t="shared" si="2"/>
        <v>25</v>
      </c>
      <c r="T63">
        <f t="shared" si="2"/>
        <v>15</v>
      </c>
      <c r="U63">
        <f t="shared" si="2"/>
        <v>6</v>
      </c>
      <c r="V63">
        <f t="shared" si="2"/>
        <v>18</v>
      </c>
      <c r="W63">
        <f t="shared" si="2"/>
        <v>18</v>
      </c>
      <c r="X63">
        <f t="shared" si="2"/>
        <v>15</v>
      </c>
      <c r="Y63">
        <f t="shared" si="2"/>
        <v>10</v>
      </c>
      <c r="Z63">
        <f t="shared" si="3"/>
        <v>319</v>
      </c>
      <c r="AA63" s="116">
        <v>319</v>
      </c>
      <c r="AB63">
        <f t="shared" si="4"/>
        <v>0</v>
      </c>
    </row>
    <row r="64" spans="1:28" ht="18">
      <c r="A64" s="117" t="s">
        <v>137</v>
      </c>
      <c r="B64">
        <f t="shared" si="1"/>
        <v>4</v>
      </c>
      <c r="C64">
        <f t="shared" si="2"/>
        <v>4</v>
      </c>
      <c r="D64">
        <f t="shared" si="2"/>
        <v>12</v>
      </c>
      <c r="E64">
        <f t="shared" si="2"/>
        <v>12</v>
      </c>
      <c r="F64">
        <f t="shared" si="2"/>
        <v>15</v>
      </c>
      <c r="G64">
        <f t="shared" si="2"/>
        <v>6</v>
      </c>
      <c r="H64">
        <f t="shared" si="2"/>
        <v>8</v>
      </c>
      <c r="I64">
        <f t="shared" si="2"/>
        <v>18</v>
      </c>
      <c r="J64">
        <f t="shared" si="2"/>
        <v>15</v>
      </c>
      <c r="K64">
        <f t="shared" si="2"/>
        <v>10</v>
      </c>
      <c r="L64">
        <f t="shared" si="2"/>
        <v>15</v>
      </c>
      <c r="M64">
        <f t="shared" si="2"/>
        <v>0</v>
      </c>
      <c r="N64">
        <f t="shared" si="2"/>
        <v>20</v>
      </c>
      <c r="O64">
        <f t="shared" si="2"/>
        <v>12</v>
      </c>
      <c r="P64">
        <f t="shared" si="2"/>
        <v>0</v>
      </c>
      <c r="Q64">
        <f t="shared" si="2"/>
        <v>12</v>
      </c>
      <c r="R64">
        <f t="shared" si="2"/>
        <v>2</v>
      </c>
      <c r="S64">
        <f t="shared" si="2"/>
        <v>8</v>
      </c>
      <c r="T64">
        <f t="shared" si="2"/>
        <v>19</v>
      </c>
      <c r="U64">
        <f t="shared" si="2"/>
        <v>18</v>
      </c>
      <c r="V64">
        <f t="shared" si="2"/>
        <v>4</v>
      </c>
      <c r="W64">
        <f t="shared" si="2"/>
        <v>12</v>
      </c>
      <c r="X64">
        <f t="shared" si="2"/>
        <v>4</v>
      </c>
      <c r="Y64">
        <f t="shared" si="2"/>
        <v>12</v>
      </c>
      <c r="Z64">
        <f t="shared" si="3"/>
        <v>242</v>
      </c>
      <c r="AA64" s="116">
        <v>242</v>
      </c>
      <c r="AB64">
        <f t="shared" si="4"/>
        <v>0</v>
      </c>
    </row>
    <row r="65" spans="1:28" ht="18">
      <c r="A65" s="117" t="s">
        <v>138</v>
      </c>
      <c r="B65">
        <f t="shared" si="1"/>
        <v>1</v>
      </c>
      <c r="C65">
        <f t="shared" si="2"/>
        <v>8</v>
      </c>
      <c r="D65">
        <f t="shared" si="2"/>
        <v>6</v>
      </c>
      <c r="E65">
        <f t="shared" si="2"/>
        <v>10</v>
      </c>
      <c r="F65">
        <f t="shared" si="2"/>
        <v>6</v>
      </c>
      <c r="G65">
        <f t="shared" si="2"/>
        <v>10</v>
      </c>
      <c r="H65">
        <f t="shared" si="2"/>
        <v>12</v>
      </c>
      <c r="I65">
        <f t="shared" si="2"/>
        <v>10</v>
      </c>
      <c r="J65">
        <f t="shared" si="2"/>
        <v>8</v>
      </c>
      <c r="K65">
        <f t="shared" si="2"/>
        <v>8</v>
      </c>
      <c r="L65">
        <f t="shared" si="2"/>
        <v>12</v>
      </c>
      <c r="M65">
        <f t="shared" si="2"/>
        <v>12</v>
      </c>
      <c r="N65">
        <f t="shared" si="2"/>
        <v>6</v>
      </c>
      <c r="O65">
        <f t="shared" si="2"/>
        <v>0</v>
      </c>
      <c r="P65">
        <f t="shared" si="2"/>
        <v>0</v>
      </c>
      <c r="Q65">
        <f t="shared" si="2"/>
        <v>8</v>
      </c>
      <c r="R65">
        <f t="shared" si="2"/>
        <v>4</v>
      </c>
      <c r="S65">
        <f t="shared" si="2"/>
        <v>4</v>
      </c>
      <c r="T65">
        <f t="shared" si="2"/>
        <v>17</v>
      </c>
      <c r="U65">
        <f t="shared" si="2"/>
        <v>4</v>
      </c>
      <c r="V65">
        <f t="shared" si="2"/>
        <v>2</v>
      </c>
      <c r="W65">
        <f t="shared" si="2"/>
        <v>4</v>
      </c>
      <c r="X65">
        <f t="shared" si="2"/>
        <v>0</v>
      </c>
      <c r="Y65">
        <f t="shared" si="2"/>
        <v>4</v>
      </c>
      <c r="Z65">
        <f t="shared" si="3"/>
        <v>156</v>
      </c>
      <c r="AA65" s="116">
        <v>156</v>
      </c>
      <c r="AB65">
        <f t="shared" si="4"/>
        <v>0</v>
      </c>
    </row>
    <row r="66" spans="1:28" ht="18">
      <c r="A66" s="117" t="s">
        <v>139</v>
      </c>
      <c r="B66">
        <f t="shared" si="1"/>
        <v>12</v>
      </c>
      <c r="C66">
        <f t="shared" si="2"/>
        <v>10</v>
      </c>
      <c r="D66">
        <f t="shared" si="2"/>
        <v>8</v>
      </c>
      <c r="E66">
        <f t="shared" si="2"/>
        <v>0</v>
      </c>
      <c r="F66">
        <f t="shared" si="2"/>
        <v>8</v>
      </c>
      <c r="G66">
        <f t="shared" si="2"/>
        <v>10</v>
      </c>
      <c r="H66">
        <f t="shared" si="2"/>
        <v>0</v>
      </c>
      <c r="I66">
        <f t="shared" si="2"/>
        <v>0</v>
      </c>
      <c r="J66">
        <f t="shared" si="2"/>
        <v>0</v>
      </c>
      <c r="K66">
        <f t="shared" si="2"/>
        <v>15</v>
      </c>
      <c r="L66">
        <f t="shared" si="2"/>
        <v>0</v>
      </c>
      <c r="M66">
        <f t="shared" si="2"/>
        <v>0</v>
      </c>
      <c r="N66">
        <f t="shared" si="2"/>
        <v>0</v>
      </c>
      <c r="O66">
        <f t="shared" si="2"/>
        <v>1</v>
      </c>
      <c r="P66">
        <f t="shared" si="2"/>
        <v>0</v>
      </c>
      <c r="Q66">
        <f t="shared" si="2"/>
        <v>2</v>
      </c>
      <c r="R66">
        <f t="shared" si="2"/>
        <v>12</v>
      </c>
      <c r="S66">
        <f t="shared" si="2"/>
        <v>10</v>
      </c>
      <c r="T66">
        <f t="shared" si="2"/>
        <v>1</v>
      </c>
      <c r="U66">
        <f t="shared" si="2"/>
        <v>8</v>
      </c>
      <c r="V66">
        <f t="shared" si="2"/>
        <v>25</v>
      </c>
      <c r="W66">
        <f t="shared" si="2"/>
        <v>15</v>
      </c>
      <c r="X66">
        <f t="shared" si="2"/>
        <v>13</v>
      </c>
      <c r="Y66">
        <f t="shared" si="2"/>
        <v>0</v>
      </c>
      <c r="Z66">
        <f t="shared" si="3"/>
        <v>150</v>
      </c>
      <c r="AA66" s="116">
        <v>150</v>
      </c>
      <c r="AB66">
        <f t="shared" si="4"/>
        <v>0</v>
      </c>
    </row>
    <row r="67" spans="1:28" ht="18">
      <c r="A67" s="117" t="s">
        <v>140</v>
      </c>
      <c r="B67">
        <f t="shared" si="1"/>
        <v>10</v>
      </c>
      <c r="C67">
        <f t="shared" si="2"/>
        <v>6</v>
      </c>
      <c r="D67">
        <f t="shared" si="2"/>
        <v>2</v>
      </c>
      <c r="E67">
        <f t="shared" si="2"/>
        <v>0</v>
      </c>
      <c r="F67">
        <f t="shared" si="2"/>
        <v>2</v>
      </c>
      <c r="G67">
        <f t="shared" si="2"/>
        <v>10</v>
      </c>
      <c r="H67">
        <f t="shared" si="2"/>
        <v>10</v>
      </c>
      <c r="I67">
        <f t="shared" si="2"/>
        <v>2</v>
      </c>
      <c r="J67">
        <f t="shared" si="2"/>
        <v>0</v>
      </c>
      <c r="K67">
        <f t="shared" si="2"/>
        <v>0</v>
      </c>
      <c r="L67">
        <f t="shared" si="2"/>
        <v>0</v>
      </c>
      <c r="M67">
        <f t="shared" si="2"/>
        <v>4</v>
      </c>
      <c r="N67">
        <f t="shared" si="2"/>
        <v>8</v>
      </c>
      <c r="O67">
        <f t="shared" si="2"/>
        <v>0</v>
      </c>
      <c r="P67">
        <f t="shared" si="2"/>
        <v>10</v>
      </c>
      <c r="Q67">
        <f t="shared" si="2"/>
        <v>6</v>
      </c>
      <c r="R67">
        <f t="shared" si="2"/>
        <v>0</v>
      </c>
      <c r="S67">
        <f t="shared" si="2"/>
        <v>0</v>
      </c>
      <c r="T67">
        <f t="shared" si="2"/>
        <v>3</v>
      </c>
      <c r="U67">
        <f t="shared" si="2"/>
        <v>0</v>
      </c>
      <c r="V67">
        <f t="shared" si="2"/>
        <v>0</v>
      </c>
      <c r="W67">
        <f t="shared" si="2"/>
        <v>0</v>
      </c>
      <c r="X67">
        <f t="shared" si="2"/>
        <v>0</v>
      </c>
      <c r="Y67">
        <f t="shared" si="2"/>
        <v>0</v>
      </c>
      <c r="Z67">
        <f t="shared" si="3"/>
        <v>73</v>
      </c>
      <c r="AA67" s="116">
        <v>73</v>
      </c>
      <c r="AB67">
        <f t="shared" si="4"/>
        <v>0</v>
      </c>
    </row>
    <row r="68" spans="1:28" ht="18">
      <c r="A68" s="117" t="s">
        <v>141</v>
      </c>
      <c r="B68">
        <f t="shared" si="1"/>
        <v>0</v>
      </c>
      <c r="C68">
        <f t="shared" si="2"/>
        <v>1</v>
      </c>
      <c r="D68">
        <f t="shared" si="2"/>
        <v>0</v>
      </c>
      <c r="E68">
        <f t="shared" si="2"/>
        <v>0</v>
      </c>
      <c r="F68">
        <f t="shared" si="2"/>
        <v>4</v>
      </c>
      <c r="G68">
        <f t="shared" si="2"/>
        <v>2</v>
      </c>
      <c r="H68">
        <f t="shared" si="2"/>
        <v>4</v>
      </c>
      <c r="I68">
        <f t="shared" si="2"/>
        <v>1</v>
      </c>
      <c r="J68">
        <f t="shared" si="2"/>
        <v>0</v>
      </c>
      <c r="K68">
        <f t="shared" si="2"/>
        <v>1</v>
      </c>
      <c r="L68">
        <f t="shared" si="2"/>
        <v>0</v>
      </c>
      <c r="M68">
        <f t="shared" si="2"/>
        <v>0</v>
      </c>
      <c r="N68">
        <f t="shared" si="2"/>
        <v>3</v>
      </c>
      <c r="O68">
        <f t="shared" si="2"/>
        <v>0</v>
      </c>
      <c r="P68">
        <f t="shared" si="2"/>
        <v>0</v>
      </c>
      <c r="Q68">
        <f t="shared" si="2"/>
        <v>0</v>
      </c>
      <c r="R68">
        <f t="shared" si="2"/>
        <v>15</v>
      </c>
      <c r="S68">
        <f t="shared" si="2"/>
        <v>1</v>
      </c>
      <c r="T68">
        <f t="shared" si="2"/>
        <v>6</v>
      </c>
      <c r="U68">
        <f t="shared" si="2"/>
        <v>0</v>
      </c>
      <c r="V68">
        <f t="shared" si="2"/>
        <v>0</v>
      </c>
      <c r="W68">
        <f t="shared" si="2"/>
        <v>10</v>
      </c>
      <c r="X68">
        <f t="shared" si="2"/>
        <v>16</v>
      </c>
      <c r="Y68">
        <f t="shared" si="2"/>
        <v>0</v>
      </c>
      <c r="Z68">
        <f t="shared" si="3"/>
        <v>64</v>
      </c>
      <c r="AA68" s="116">
        <v>64</v>
      </c>
      <c r="AB68">
        <f t="shared" si="4"/>
        <v>0</v>
      </c>
    </row>
    <row r="69" spans="1:28" ht="18">
      <c r="A69" s="117" t="s">
        <v>142</v>
      </c>
      <c r="B69">
        <f t="shared" si="1"/>
        <v>0</v>
      </c>
      <c r="C69">
        <f t="shared" si="2"/>
        <v>0</v>
      </c>
      <c r="D69">
        <f t="shared" si="2"/>
        <v>0</v>
      </c>
      <c r="E69">
        <f t="shared" si="2"/>
        <v>0</v>
      </c>
      <c r="F69">
        <f t="shared" si="2"/>
        <v>0</v>
      </c>
      <c r="G69">
        <f t="shared" si="2"/>
        <v>0</v>
      </c>
      <c r="H69">
        <f t="shared" si="2"/>
        <v>0</v>
      </c>
      <c r="I69">
        <f t="shared" si="2"/>
        <v>0</v>
      </c>
      <c r="J69">
        <f t="shared" si="2"/>
        <v>2</v>
      </c>
      <c r="K69">
        <f t="shared" si="2"/>
        <v>6</v>
      </c>
      <c r="L69">
        <f t="shared" si="2"/>
        <v>6</v>
      </c>
      <c r="M69">
        <f t="shared" si="2"/>
        <v>2</v>
      </c>
      <c r="N69">
        <f t="shared" si="2"/>
        <v>0</v>
      </c>
      <c r="O69">
        <f t="shared" si="2"/>
        <v>10</v>
      </c>
      <c r="P69">
        <f t="shared" si="2"/>
        <v>4</v>
      </c>
      <c r="Q69">
        <f t="shared" si="2"/>
        <v>0</v>
      </c>
      <c r="R69">
        <f t="shared" si="2"/>
        <v>0</v>
      </c>
      <c r="S69">
        <f t="shared" si="2"/>
        <v>6</v>
      </c>
      <c r="T69">
        <f t="shared" si="2"/>
        <v>1</v>
      </c>
      <c r="U69">
        <f t="shared" si="2"/>
        <v>0</v>
      </c>
      <c r="V69">
        <f t="shared" si="2"/>
        <v>3</v>
      </c>
      <c r="W69">
        <f t="shared" si="2"/>
        <v>0</v>
      </c>
      <c r="X69">
        <f t="shared" si="2"/>
        <v>8</v>
      </c>
      <c r="Y69">
        <f t="shared" si="2"/>
        <v>8</v>
      </c>
      <c r="Z69">
        <f t="shared" si="3"/>
        <v>56</v>
      </c>
      <c r="AA69" s="116">
        <v>56</v>
      </c>
      <c r="AB69">
        <f t="shared" si="4"/>
        <v>0</v>
      </c>
    </row>
    <row r="70" spans="1:28" ht="18">
      <c r="A70" s="117" t="s">
        <v>143</v>
      </c>
      <c r="B70">
        <f t="shared" si="1"/>
        <v>6</v>
      </c>
      <c r="C70">
        <f t="shared" si="2"/>
        <v>0</v>
      </c>
      <c r="D70">
        <f t="shared" si="2"/>
        <v>0</v>
      </c>
      <c r="E70">
        <f t="shared" si="2"/>
        <v>0</v>
      </c>
      <c r="F70">
        <f t="shared" si="2"/>
        <v>0</v>
      </c>
      <c r="G70">
        <f t="shared" si="2"/>
        <v>0</v>
      </c>
      <c r="H70">
        <f t="shared" si="2"/>
        <v>0</v>
      </c>
      <c r="I70">
        <f t="shared" si="2"/>
        <v>0</v>
      </c>
      <c r="J70">
        <f t="shared" si="2"/>
        <v>10</v>
      </c>
      <c r="K70">
        <f t="shared" si="2"/>
        <v>4</v>
      </c>
      <c r="L70">
        <f t="shared" si="2"/>
        <v>2</v>
      </c>
      <c r="M70">
        <f t="shared" si="2"/>
        <v>15</v>
      </c>
      <c r="N70">
        <f t="shared" si="2"/>
        <v>0</v>
      </c>
      <c r="O70">
        <f t="shared" si="2"/>
        <v>0</v>
      </c>
      <c r="P70">
        <f t="shared" si="2"/>
        <v>0</v>
      </c>
      <c r="Q70">
        <f t="shared" si="2"/>
        <v>0</v>
      </c>
      <c r="R70">
        <f t="shared" si="2"/>
        <v>0</v>
      </c>
      <c r="S70">
        <f t="shared" si="2"/>
        <v>0</v>
      </c>
      <c r="T70">
        <f t="shared" si="2"/>
        <v>4</v>
      </c>
      <c r="U70">
        <f t="shared" si="2"/>
        <v>0</v>
      </c>
      <c r="V70">
        <f t="shared" si="2"/>
        <v>2</v>
      </c>
      <c r="W70">
        <f t="shared" si="2"/>
        <v>6</v>
      </c>
      <c r="X70">
        <f t="shared" si="2"/>
        <v>0</v>
      </c>
      <c r="Y70">
        <f t="shared" si="2"/>
        <v>2</v>
      </c>
      <c r="Z70">
        <f t="shared" si="3"/>
        <v>51</v>
      </c>
      <c r="AA70" s="116">
        <v>51</v>
      </c>
      <c r="AB70">
        <f t="shared" si="4"/>
        <v>0</v>
      </c>
    </row>
    <row r="71" spans="1:28" ht="18">
      <c r="A71" s="117" t="s">
        <v>144</v>
      </c>
      <c r="B71">
        <f t="shared" si="1"/>
        <v>0</v>
      </c>
      <c r="C71">
        <f t="shared" si="2"/>
        <v>0</v>
      </c>
      <c r="D71">
        <f t="shared" si="2"/>
        <v>4</v>
      </c>
      <c r="E71">
        <f t="shared" si="2"/>
        <v>0</v>
      </c>
      <c r="F71">
        <f t="shared" si="2"/>
        <v>1</v>
      </c>
      <c r="G71">
        <f t="shared" si="2"/>
        <v>0</v>
      </c>
      <c r="H71">
        <f t="shared" si="2"/>
        <v>2</v>
      </c>
      <c r="I71">
        <f t="shared" si="2"/>
        <v>8</v>
      </c>
      <c r="J71">
        <f t="shared" si="2"/>
        <v>6</v>
      </c>
      <c r="K71">
        <f t="shared" si="2"/>
        <v>0</v>
      </c>
      <c r="L71">
        <f t="shared" si="2"/>
        <v>0</v>
      </c>
      <c r="M71">
        <f t="shared" si="2"/>
        <v>0</v>
      </c>
      <c r="N71">
        <f t="shared" si="2"/>
        <v>1</v>
      </c>
      <c r="O71">
        <f t="shared" si="2"/>
        <v>0</v>
      </c>
      <c r="P71">
        <f t="shared" si="2"/>
        <v>15</v>
      </c>
      <c r="Q71">
        <f t="shared" si="2"/>
        <v>1</v>
      </c>
      <c r="R71">
        <f t="shared" si="2"/>
        <v>1</v>
      </c>
      <c r="S71">
        <f t="shared" si="2"/>
        <v>0</v>
      </c>
      <c r="T71">
        <f t="shared" si="2"/>
        <v>0</v>
      </c>
      <c r="U71">
        <f t="shared" si="2"/>
        <v>0</v>
      </c>
      <c r="V71">
        <f t="shared" si="2"/>
        <v>4</v>
      </c>
      <c r="W71">
        <f t="shared" si="2"/>
        <v>8</v>
      </c>
      <c r="X71">
        <f t="shared" si="2"/>
        <v>0</v>
      </c>
      <c r="Y71">
        <f t="shared" si="2"/>
        <v>0</v>
      </c>
      <c r="Z71">
        <f t="shared" si="3"/>
        <v>51</v>
      </c>
      <c r="AA71" s="116">
        <v>51</v>
      </c>
      <c r="AB71">
        <f t="shared" si="4"/>
        <v>0</v>
      </c>
    </row>
    <row r="72" spans="1:28" ht="18">
      <c r="A72" s="117" t="s">
        <v>145</v>
      </c>
      <c r="B72">
        <f t="shared" si="1"/>
        <v>0</v>
      </c>
      <c r="C72">
        <f t="shared" si="2"/>
        <v>4</v>
      </c>
      <c r="D72">
        <f t="shared" si="2"/>
        <v>1</v>
      </c>
      <c r="E72">
        <f t="shared" si="2"/>
        <v>1</v>
      </c>
      <c r="F72">
        <f t="shared" si="2"/>
        <v>0</v>
      </c>
      <c r="G72">
        <f t="shared" si="2"/>
        <v>0</v>
      </c>
      <c r="H72">
        <f t="shared" si="2"/>
        <v>0</v>
      </c>
      <c r="I72">
        <f t="shared" si="2"/>
        <v>0</v>
      </c>
      <c r="J72">
        <f t="shared" si="2"/>
        <v>0</v>
      </c>
      <c r="K72">
        <f t="shared" si="2"/>
        <v>0</v>
      </c>
      <c r="L72">
        <f t="shared" si="2"/>
        <v>0</v>
      </c>
      <c r="M72">
        <f t="shared" si="2"/>
        <v>0</v>
      </c>
      <c r="N72">
        <f t="shared" si="2"/>
        <v>2</v>
      </c>
      <c r="O72">
        <f t="shared" si="2"/>
        <v>0</v>
      </c>
      <c r="P72">
        <f t="shared" si="2"/>
        <v>8</v>
      </c>
      <c r="Q72">
        <f t="shared" si="2"/>
        <v>0</v>
      </c>
      <c r="R72">
        <f t="shared" si="2"/>
        <v>0</v>
      </c>
      <c r="S72">
        <f t="shared" si="2"/>
        <v>2</v>
      </c>
      <c r="T72">
        <f t="shared" ref="C72:Y81" si="5">_xlfn.LET(
    _xlpm.race_pos, VLOOKUP($A72, $A$2:$Y$23, (T$59 + 1), FALSE),
    _xlpm.sprint_pos, VLOOKUP($A72, $A$27:$Y$48, (T$59 + 1), FALSE),
    _xlpm.race_pts, VLOOKUP(_xlpm.race_pos, $AE$12:$AG$33, 2, TRUE),
    _xlpm.sprint_pts, VLOOKUP(_xlpm.sprint_pos, $AE$12:$AG$33, 3, TRUE),
    _xlpm.race_pts + _xlpm.sprint_pts
)</f>
        <v>2</v>
      </c>
      <c r="U72">
        <f t="shared" si="5"/>
        <v>12</v>
      </c>
      <c r="V72">
        <f t="shared" si="5"/>
        <v>8</v>
      </c>
      <c r="W72">
        <f t="shared" si="5"/>
        <v>1</v>
      </c>
      <c r="X72">
        <f t="shared" si="5"/>
        <v>0</v>
      </c>
      <c r="Y72">
        <f t="shared" si="5"/>
        <v>0</v>
      </c>
      <c r="Z72">
        <f t="shared" si="3"/>
        <v>41</v>
      </c>
      <c r="AA72" s="116">
        <v>41</v>
      </c>
      <c r="AB72">
        <f t="shared" si="4"/>
        <v>0</v>
      </c>
    </row>
    <row r="73" spans="1:28" ht="18">
      <c r="A73" s="117" t="s">
        <v>146</v>
      </c>
      <c r="B73">
        <f t="shared" si="1"/>
        <v>0</v>
      </c>
      <c r="C73">
        <f t="shared" si="5"/>
        <v>0</v>
      </c>
      <c r="D73">
        <f t="shared" si="5"/>
        <v>0</v>
      </c>
      <c r="E73">
        <f t="shared" si="5"/>
        <v>0</v>
      </c>
      <c r="F73">
        <f t="shared" si="5"/>
        <v>0</v>
      </c>
      <c r="G73">
        <f t="shared" si="5"/>
        <v>0</v>
      </c>
      <c r="H73">
        <f t="shared" si="5"/>
        <v>0</v>
      </c>
      <c r="I73">
        <f t="shared" si="5"/>
        <v>4</v>
      </c>
      <c r="J73">
        <f t="shared" si="5"/>
        <v>0</v>
      </c>
      <c r="K73">
        <f t="shared" si="5"/>
        <v>0</v>
      </c>
      <c r="L73">
        <f t="shared" si="5"/>
        <v>8</v>
      </c>
      <c r="M73">
        <f t="shared" si="5"/>
        <v>0</v>
      </c>
      <c r="N73">
        <f t="shared" si="5"/>
        <v>4</v>
      </c>
      <c r="O73">
        <f t="shared" si="5"/>
        <v>4</v>
      </c>
      <c r="P73">
        <f t="shared" si="5"/>
        <v>0</v>
      </c>
      <c r="Q73">
        <f t="shared" si="5"/>
        <v>0</v>
      </c>
      <c r="R73">
        <f t="shared" si="5"/>
        <v>10</v>
      </c>
      <c r="S73">
        <f t="shared" si="5"/>
        <v>0</v>
      </c>
      <c r="T73">
        <f t="shared" si="5"/>
        <v>0</v>
      </c>
      <c r="U73">
        <f t="shared" si="5"/>
        <v>0</v>
      </c>
      <c r="V73">
        <f t="shared" si="5"/>
        <v>6</v>
      </c>
      <c r="W73">
        <f t="shared" si="5"/>
        <v>0</v>
      </c>
      <c r="X73">
        <f t="shared" si="5"/>
        <v>2</v>
      </c>
      <c r="Y73">
        <f t="shared" si="5"/>
        <v>0</v>
      </c>
      <c r="Z73">
        <f t="shared" si="3"/>
        <v>38</v>
      </c>
      <c r="AA73" s="116">
        <v>38</v>
      </c>
      <c r="AB73">
        <f t="shared" si="4"/>
        <v>0</v>
      </c>
    </row>
    <row r="74" spans="1:28" ht="18">
      <c r="A74" s="117" t="s">
        <v>147</v>
      </c>
      <c r="B74">
        <f t="shared" si="1"/>
        <v>0</v>
      </c>
      <c r="C74">
        <f t="shared" si="5"/>
        <v>10</v>
      </c>
      <c r="D74">
        <f t="shared" si="5"/>
        <v>0</v>
      </c>
      <c r="E74">
        <f t="shared" si="5"/>
        <v>4</v>
      </c>
      <c r="F74">
        <f t="shared" si="5"/>
        <v>0</v>
      </c>
      <c r="G74">
        <f t="shared" si="5"/>
        <v>0</v>
      </c>
      <c r="H74">
        <f t="shared" si="5"/>
        <v>0</v>
      </c>
      <c r="I74">
        <f t="shared" si="5"/>
        <v>6</v>
      </c>
      <c r="J74">
        <f t="shared" si="5"/>
        <v>0</v>
      </c>
      <c r="K74">
        <f t="shared" si="5"/>
        <v>2</v>
      </c>
      <c r="L74">
        <f t="shared" si="5"/>
        <v>1</v>
      </c>
      <c r="M74">
        <f t="shared" si="5"/>
        <v>0</v>
      </c>
      <c r="N74">
        <f t="shared" si="5"/>
        <v>4</v>
      </c>
      <c r="O74">
        <f t="shared" si="5"/>
        <v>0</v>
      </c>
      <c r="P74">
        <f t="shared" si="5"/>
        <v>1</v>
      </c>
      <c r="Q74">
        <f t="shared" si="5"/>
        <v>0</v>
      </c>
      <c r="R74">
        <f t="shared" si="5"/>
        <v>0</v>
      </c>
      <c r="S74">
        <f t="shared" si="5"/>
        <v>0</v>
      </c>
      <c r="T74">
        <f t="shared" si="5"/>
        <v>0</v>
      </c>
      <c r="U74">
        <f t="shared" si="5"/>
        <v>2</v>
      </c>
      <c r="V74">
        <f t="shared" si="5"/>
        <v>0</v>
      </c>
      <c r="W74">
        <f t="shared" si="5"/>
        <v>2</v>
      </c>
      <c r="X74">
        <f t="shared" si="5"/>
        <v>0</v>
      </c>
      <c r="Y74">
        <f t="shared" si="5"/>
        <v>6</v>
      </c>
      <c r="Z74">
        <f t="shared" si="3"/>
        <v>38</v>
      </c>
      <c r="AA74" s="116">
        <v>38</v>
      </c>
      <c r="AB74">
        <f t="shared" si="4"/>
        <v>0</v>
      </c>
    </row>
    <row r="75" spans="1:28" ht="18">
      <c r="A75" s="117" t="s">
        <v>148</v>
      </c>
      <c r="B75">
        <f t="shared" si="1"/>
        <v>8</v>
      </c>
      <c r="C75">
        <f t="shared" si="5"/>
        <v>2</v>
      </c>
      <c r="D75">
        <f t="shared" si="5"/>
        <v>0</v>
      </c>
      <c r="E75">
        <f t="shared" si="5"/>
        <v>0</v>
      </c>
      <c r="F75">
        <f t="shared" si="5"/>
        <v>0</v>
      </c>
      <c r="G75">
        <f t="shared" si="5"/>
        <v>4</v>
      </c>
      <c r="H75">
        <f t="shared" si="5"/>
        <v>0</v>
      </c>
      <c r="I75">
        <f t="shared" si="5"/>
        <v>0</v>
      </c>
      <c r="J75">
        <f t="shared" si="5"/>
        <v>0</v>
      </c>
      <c r="K75">
        <f t="shared" si="5"/>
        <v>0</v>
      </c>
      <c r="L75">
        <f t="shared" si="5"/>
        <v>0</v>
      </c>
      <c r="M75">
        <f t="shared" si="5"/>
        <v>6</v>
      </c>
      <c r="N75">
        <f t="shared" si="5"/>
        <v>0</v>
      </c>
      <c r="O75">
        <f t="shared" si="5"/>
        <v>6</v>
      </c>
      <c r="P75">
        <f t="shared" si="5"/>
        <v>6</v>
      </c>
      <c r="Q75">
        <f t="shared" si="5"/>
        <v>0</v>
      </c>
      <c r="R75">
        <f t="shared" si="5"/>
        <v>0</v>
      </c>
      <c r="S75">
        <f t="shared" si="5"/>
        <v>0</v>
      </c>
      <c r="T75">
        <f t="shared" si="5"/>
        <v>0</v>
      </c>
      <c r="U75">
        <f t="shared" si="5"/>
        <v>0</v>
      </c>
      <c r="V75">
        <f t="shared" si="5"/>
        <v>0</v>
      </c>
      <c r="W75">
        <f t="shared" si="5"/>
        <v>0</v>
      </c>
      <c r="X75">
        <f t="shared" si="5"/>
        <v>0</v>
      </c>
      <c r="Y75">
        <f t="shared" si="5"/>
        <v>1</v>
      </c>
      <c r="Z75">
        <f t="shared" si="3"/>
        <v>33</v>
      </c>
      <c r="AA75" s="116">
        <v>33</v>
      </c>
      <c r="AB75">
        <f t="shared" si="4"/>
        <v>0</v>
      </c>
    </row>
    <row r="76" spans="1:28" ht="18">
      <c r="A76" s="117" t="s">
        <v>149</v>
      </c>
      <c r="B76">
        <f t="shared" si="1"/>
        <v>0</v>
      </c>
      <c r="C76">
        <f t="shared" si="5"/>
        <v>3</v>
      </c>
      <c r="D76">
        <f t="shared" si="5"/>
        <v>0</v>
      </c>
      <c r="E76">
        <f t="shared" si="5"/>
        <v>2</v>
      </c>
      <c r="F76">
        <f t="shared" si="5"/>
        <v>0</v>
      </c>
      <c r="G76">
        <f t="shared" si="5"/>
        <v>4</v>
      </c>
      <c r="H76">
        <f t="shared" si="5"/>
        <v>1</v>
      </c>
      <c r="I76">
        <f t="shared" si="5"/>
        <v>0</v>
      </c>
      <c r="J76">
        <f t="shared" si="5"/>
        <v>0</v>
      </c>
      <c r="K76">
        <f t="shared" si="5"/>
        <v>0</v>
      </c>
      <c r="L76">
        <f t="shared" si="5"/>
        <v>0</v>
      </c>
      <c r="M76">
        <f t="shared" si="5"/>
        <v>0</v>
      </c>
      <c r="N76">
        <f t="shared" si="5"/>
        <v>0</v>
      </c>
      <c r="O76">
        <f t="shared" si="5"/>
        <v>0</v>
      </c>
      <c r="P76">
        <f t="shared" si="5"/>
        <v>2</v>
      </c>
      <c r="Q76">
        <f t="shared" si="5"/>
        <v>0</v>
      </c>
      <c r="R76">
        <f t="shared" si="5"/>
        <v>8</v>
      </c>
      <c r="S76">
        <f t="shared" si="5"/>
        <v>0</v>
      </c>
      <c r="T76">
        <f t="shared" si="5"/>
        <v>8</v>
      </c>
      <c r="U76">
        <f t="shared" si="5"/>
        <v>0</v>
      </c>
      <c r="V76">
        <f t="shared" si="5"/>
        <v>0</v>
      </c>
      <c r="W76">
        <f t="shared" si="5"/>
        <v>0</v>
      </c>
      <c r="X76">
        <f t="shared" si="5"/>
        <v>5</v>
      </c>
      <c r="Y76">
        <f t="shared" si="5"/>
        <v>0</v>
      </c>
      <c r="Z76">
        <f t="shared" si="3"/>
        <v>33</v>
      </c>
      <c r="AA76" s="116">
        <v>33</v>
      </c>
      <c r="AB76">
        <f t="shared" si="4"/>
        <v>0</v>
      </c>
    </row>
    <row r="77" spans="1:28" ht="18">
      <c r="A77" s="117" t="s">
        <v>150</v>
      </c>
      <c r="B77">
        <f t="shared" si="1"/>
        <v>0</v>
      </c>
      <c r="C77">
        <f t="shared" si="5"/>
        <v>0</v>
      </c>
      <c r="D77">
        <f t="shared" si="5"/>
        <v>0</v>
      </c>
      <c r="E77">
        <f t="shared" si="5"/>
        <v>6</v>
      </c>
      <c r="F77">
        <f t="shared" si="5"/>
        <v>0</v>
      </c>
      <c r="G77">
        <f t="shared" si="5"/>
        <v>1</v>
      </c>
      <c r="H77">
        <f t="shared" si="5"/>
        <v>0</v>
      </c>
      <c r="I77">
        <f t="shared" si="5"/>
        <v>0</v>
      </c>
      <c r="J77">
        <f t="shared" si="5"/>
        <v>4</v>
      </c>
      <c r="K77">
        <f t="shared" si="5"/>
        <v>0</v>
      </c>
      <c r="L77">
        <f t="shared" si="5"/>
        <v>0</v>
      </c>
      <c r="M77">
        <f t="shared" si="5"/>
        <v>8</v>
      </c>
      <c r="N77">
        <f t="shared" si="5"/>
        <v>1</v>
      </c>
      <c r="O77">
        <f t="shared" si="5"/>
        <v>0</v>
      </c>
      <c r="P77">
        <f t="shared" si="5"/>
        <v>0</v>
      </c>
      <c r="Q77">
        <f t="shared" si="5"/>
        <v>0</v>
      </c>
      <c r="R77">
        <f t="shared" si="5"/>
        <v>0</v>
      </c>
      <c r="S77">
        <f t="shared" si="5"/>
        <v>0</v>
      </c>
      <c r="T77">
        <f t="shared" si="5"/>
        <v>0</v>
      </c>
      <c r="U77">
        <f t="shared" si="5"/>
        <v>0</v>
      </c>
      <c r="V77">
        <f t="shared" si="5"/>
        <v>2</v>
      </c>
      <c r="W77">
        <f t="shared" si="5"/>
        <v>0</v>
      </c>
      <c r="X77">
        <f t="shared" si="5"/>
        <v>0</v>
      </c>
      <c r="Y77">
        <f t="shared" si="5"/>
        <v>0</v>
      </c>
      <c r="Z77">
        <f t="shared" si="3"/>
        <v>22</v>
      </c>
      <c r="AA77" s="116">
        <v>22</v>
      </c>
      <c r="AB77">
        <f t="shared" si="4"/>
        <v>0</v>
      </c>
    </row>
    <row r="78" spans="1:28" ht="18">
      <c r="A78" s="117" t="s">
        <v>151</v>
      </c>
      <c r="B78">
        <f t="shared" si="1"/>
        <v>0</v>
      </c>
      <c r="C78">
        <f t="shared" si="5"/>
        <v>0</v>
      </c>
      <c r="D78">
        <f t="shared" si="5"/>
        <v>0</v>
      </c>
      <c r="E78">
        <f t="shared" si="5"/>
        <v>0</v>
      </c>
      <c r="F78">
        <f t="shared" si="5"/>
        <v>0</v>
      </c>
      <c r="G78">
        <f t="shared" si="5"/>
        <v>0</v>
      </c>
      <c r="H78">
        <f t="shared" si="5"/>
        <v>0</v>
      </c>
      <c r="I78">
        <f t="shared" si="5"/>
        <v>0</v>
      </c>
      <c r="J78">
        <f t="shared" si="5"/>
        <v>0</v>
      </c>
      <c r="K78">
        <f t="shared" si="5"/>
        <v>0</v>
      </c>
      <c r="L78">
        <f t="shared" si="5"/>
        <v>4</v>
      </c>
      <c r="M78">
        <f t="shared" si="5"/>
        <v>0</v>
      </c>
      <c r="N78">
        <f t="shared" si="5"/>
        <v>2</v>
      </c>
      <c r="O78">
        <f t="shared" si="5"/>
        <v>8</v>
      </c>
      <c r="P78">
        <f t="shared" si="5"/>
        <v>0</v>
      </c>
      <c r="Q78">
        <f t="shared" si="5"/>
        <v>4</v>
      </c>
      <c r="R78">
        <f t="shared" si="5"/>
        <v>0</v>
      </c>
      <c r="S78">
        <f t="shared" si="5"/>
        <v>0</v>
      </c>
      <c r="T78">
        <f t="shared" si="5"/>
        <v>0</v>
      </c>
      <c r="U78">
        <f t="shared" si="5"/>
        <v>1</v>
      </c>
      <c r="V78">
        <f t="shared" si="5"/>
        <v>0</v>
      </c>
      <c r="W78">
        <f t="shared" si="5"/>
        <v>0</v>
      </c>
      <c r="X78">
        <f t="shared" si="5"/>
        <v>0</v>
      </c>
      <c r="Y78">
        <f t="shared" si="5"/>
        <v>0</v>
      </c>
      <c r="Z78">
        <f t="shared" si="3"/>
        <v>19</v>
      </c>
      <c r="AA78" s="116">
        <v>19</v>
      </c>
      <c r="AB78">
        <f t="shared" si="4"/>
        <v>0</v>
      </c>
    </row>
    <row r="79" spans="1:28" ht="18">
      <c r="A79" s="117" t="s">
        <v>152</v>
      </c>
      <c r="B79">
        <f t="shared" si="1"/>
        <v>0</v>
      </c>
      <c r="C79">
        <f t="shared" si="5"/>
        <v>0</v>
      </c>
      <c r="D79">
        <f t="shared" si="5"/>
        <v>0</v>
      </c>
      <c r="E79">
        <f t="shared" si="5"/>
        <v>0</v>
      </c>
      <c r="F79">
        <f t="shared" si="5"/>
        <v>0</v>
      </c>
      <c r="G79">
        <f t="shared" si="5"/>
        <v>0</v>
      </c>
      <c r="H79">
        <f t="shared" si="5"/>
        <v>0</v>
      </c>
      <c r="I79">
        <f t="shared" si="5"/>
        <v>0</v>
      </c>
      <c r="J79">
        <f t="shared" si="5"/>
        <v>0</v>
      </c>
      <c r="K79">
        <f t="shared" si="5"/>
        <v>0</v>
      </c>
      <c r="L79">
        <f t="shared" si="5"/>
        <v>0</v>
      </c>
      <c r="M79">
        <f t="shared" si="5"/>
        <v>0</v>
      </c>
      <c r="N79">
        <f t="shared" si="5"/>
        <v>0</v>
      </c>
      <c r="O79">
        <f t="shared" si="5"/>
        <v>0</v>
      </c>
      <c r="P79">
        <f t="shared" si="5"/>
        <v>0</v>
      </c>
      <c r="Q79">
        <f t="shared" si="5"/>
        <v>0</v>
      </c>
      <c r="R79">
        <f t="shared" si="5"/>
        <v>0</v>
      </c>
      <c r="S79">
        <f t="shared" si="5"/>
        <v>0</v>
      </c>
      <c r="T79">
        <f t="shared" si="5"/>
        <v>0</v>
      </c>
      <c r="U79">
        <f t="shared" si="5"/>
        <v>0</v>
      </c>
      <c r="V79">
        <f t="shared" si="5"/>
        <v>0</v>
      </c>
      <c r="W79">
        <f t="shared" si="5"/>
        <v>0</v>
      </c>
      <c r="X79">
        <f t="shared" si="5"/>
        <v>0</v>
      </c>
      <c r="Y79">
        <f t="shared" si="5"/>
        <v>0</v>
      </c>
      <c r="Z79">
        <f t="shared" si="3"/>
        <v>0</v>
      </c>
      <c r="AA79" s="116">
        <v>0</v>
      </c>
      <c r="AB79">
        <f t="shared" si="4"/>
        <v>0</v>
      </c>
    </row>
    <row r="80" spans="1:28" ht="18">
      <c r="A80" s="117" t="s">
        <v>153</v>
      </c>
      <c r="B80">
        <f t="shared" si="1"/>
        <v>0</v>
      </c>
      <c r="C80">
        <f t="shared" si="5"/>
        <v>0</v>
      </c>
      <c r="D80">
        <f t="shared" si="5"/>
        <v>0</v>
      </c>
      <c r="E80">
        <f t="shared" si="5"/>
        <v>0</v>
      </c>
      <c r="F80">
        <f t="shared" si="5"/>
        <v>0</v>
      </c>
      <c r="G80">
        <f t="shared" si="5"/>
        <v>0</v>
      </c>
      <c r="H80">
        <f t="shared" si="5"/>
        <v>0</v>
      </c>
      <c r="I80">
        <f t="shared" si="5"/>
        <v>0</v>
      </c>
      <c r="J80">
        <f t="shared" si="5"/>
        <v>0</v>
      </c>
      <c r="K80">
        <f t="shared" si="5"/>
        <v>0</v>
      </c>
      <c r="L80">
        <f t="shared" si="5"/>
        <v>0</v>
      </c>
      <c r="M80">
        <f t="shared" si="5"/>
        <v>0</v>
      </c>
      <c r="N80">
        <f t="shared" si="5"/>
        <v>0</v>
      </c>
      <c r="O80">
        <f t="shared" si="5"/>
        <v>0</v>
      </c>
      <c r="P80">
        <f t="shared" si="5"/>
        <v>0</v>
      </c>
      <c r="Q80">
        <f t="shared" si="5"/>
        <v>0</v>
      </c>
      <c r="R80">
        <f t="shared" si="5"/>
        <v>0</v>
      </c>
      <c r="S80">
        <f t="shared" si="5"/>
        <v>0</v>
      </c>
      <c r="T80">
        <f t="shared" si="5"/>
        <v>0</v>
      </c>
      <c r="U80">
        <f t="shared" si="5"/>
        <v>0</v>
      </c>
      <c r="V80">
        <f t="shared" si="5"/>
        <v>0</v>
      </c>
      <c r="W80">
        <f t="shared" si="5"/>
        <v>0</v>
      </c>
      <c r="X80">
        <f t="shared" si="5"/>
        <v>0</v>
      </c>
      <c r="Y80">
        <f t="shared" si="5"/>
        <v>0</v>
      </c>
      <c r="Z80">
        <f t="shared" si="3"/>
        <v>0</v>
      </c>
      <c r="AA80" s="116">
        <v>0</v>
      </c>
      <c r="AB80">
        <f t="shared" si="4"/>
        <v>0</v>
      </c>
    </row>
    <row r="81" spans="1:28" ht="18">
      <c r="A81" s="117" t="s">
        <v>153</v>
      </c>
      <c r="B81">
        <f t="shared" si="1"/>
        <v>0</v>
      </c>
      <c r="C81">
        <f t="shared" si="5"/>
        <v>0</v>
      </c>
      <c r="D81">
        <f t="shared" si="5"/>
        <v>0</v>
      </c>
      <c r="E81">
        <f t="shared" si="5"/>
        <v>0</v>
      </c>
      <c r="F81">
        <f t="shared" si="5"/>
        <v>0</v>
      </c>
      <c r="G81">
        <f t="shared" si="5"/>
        <v>0</v>
      </c>
      <c r="H81">
        <f t="shared" si="5"/>
        <v>0</v>
      </c>
      <c r="I81">
        <f t="shared" si="5"/>
        <v>0</v>
      </c>
      <c r="J81">
        <f t="shared" si="5"/>
        <v>0</v>
      </c>
      <c r="K81">
        <f t="shared" si="5"/>
        <v>0</v>
      </c>
      <c r="L81">
        <f t="shared" si="5"/>
        <v>0</v>
      </c>
      <c r="M81">
        <f t="shared" si="5"/>
        <v>0</v>
      </c>
      <c r="N81">
        <f t="shared" si="5"/>
        <v>0</v>
      </c>
      <c r="O81">
        <f t="shared" si="5"/>
        <v>0</v>
      </c>
      <c r="P81">
        <f t="shared" si="5"/>
        <v>0</v>
      </c>
      <c r="Q81">
        <f t="shared" si="5"/>
        <v>0</v>
      </c>
      <c r="R81">
        <f t="shared" si="5"/>
        <v>0</v>
      </c>
      <c r="S81">
        <f t="shared" si="5"/>
        <v>0</v>
      </c>
      <c r="T81">
        <f t="shared" si="5"/>
        <v>0</v>
      </c>
      <c r="U81">
        <f t="shared" si="5"/>
        <v>0</v>
      </c>
      <c r="V81">
        <f t="shared" si="5"/>
        <v>0</v>
      </c>
      <c r="W81">
        <f t="shared" si="5"/>
        <v>0</v>
      </c>
      <c r="X81">
        <f t="shared" si="5"/>
        <v>0</v>
      </c>
      <c r="Y81">
        <f t="shared" si="5"/>
        <v>0</v>
      </c>
      <c r="Z81">
        <f t="shared" si="3"/>
        <v>0</v>
      </c>
      <c r="AA81" s="116">
        <v>0</v>
      </c>
      <c r="AB81">
        <f t="shared" si="4"/>
        <v>0</v>
      </c>
    </row>
  </sheetData>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16B889-04D6-404B-9E9A-A334E3FB4E06}">
  <dimension ref="A1:Y11"/>
  <sheetViews>
    <sheetView workbookViewId="0">
      <selection activeCell="G29" sqref="G29"/>
    </sheetView>
  </sheetViews>
  <sheetFormatPr baseColWidth="10" defaultRowHeight="16"/>
  <sheetData>
    <row r="1" spans="1:25">
      <c r="B1">
        <v>1</v>
      </c>
      <c r="C1">
        <v>2</v>
      </c>
      <c r="D1">
        <v>3</v>
      </c>
      <c r="E1">
        <v>4</v>
      </c>
      <c r="F1">
        <v>5</v>
      </c>
      <c r="G1">
        <v>6</v>
      </c>
      <c r="H1">
        <v>7</v>
      </c>
      <c r="I1">
        <v>8</v>
      </c>
      <c r="J1">
        <v>9</v>
      </c>
      <c r="K1">
        <v>10</v>
      </c>
      <c r="L1">
        <v>11</v>
      </c>
      <c r="M1">
        <v>12</v>
      </c>
      <c r="N1">
        <v>13</v>
      </c>
      <c r="O1">
        <v>14</v>
      </c>
      <c r="P1">
        <v>15</v>
      </c>
      <c r="Q1">
        <v>16</v>
      </c>
      <c r="R1">
        <v>17</v>
      </c>
      <c r="S1">
        <v>18</v>
      </c>
      <c r="T1">
        <v>19</v>
      </c>
      <c r="U1">
        <v>20</v>
      </c>
      <c r="V1">
        <v>21</v>
      </c>
      <c r="W1">
        <v>22</v>
      </c>
      <c r="X1">
        <v>23</v>
      </c>
      <c r="Y1">
        <v>24</v>
      </c>
    </row>
    <row r="2" spans="1:25">
      <c r="A2" s="7" t="s">
        <v>79</v>
      </c>
    </row>
    <row r="3" spans="1:25">
      <c r="A3" s="7" t="s">
        <v>80</v>
      </c>
    </row>
    <row r="4" spans="1:25">
      <c r="A4" s="7" t="s">
        <v>81</v>
      </c>
    </row>
    <row r="5" spans="1:25">
      <c r="A5" s="7" t="s">
        <v>82</v>
      </c>
    </row>
    <row r="6" spans="1:25">
      <c r="A6" s="7" t="s">
        <v>83</v>
      </c>
    </row>
    <row r="7" spans="1:25">
      <c r="A7" s="7" t="s">
        <v>84</v>
      </c>
    </row>
    <row r="8" spans="1:25">
      <c r="A8" s="7" t="s">
        <v>85</v>
      </c>
    </row>
    <row r="9" spans="1:25">
      <c r="A9" s="7" t="s">
        <v>86</v>
      </c>
    </row>
    <row r="10" spans="1:25">
      <c r="A10" s="7" t="s">
        <v>87</v>
      </c>
    </row>
    <row r="11" spans="1:25">
      <c r="A11" s="7" t="s">
        <v>88</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8E27D7-930E-4F4A-A66B-710AC07A2DB6}">
  <dimension ref="A1:C34"/>
  <sheetViews>
    <sheetView workbookViewId="0">
      <selection activeCell="W23" sqref="W23"/>
    </sheetView>
  </sheetViews>
  <sheetFormatPr baseColWidth="10" defaultRowHeight="16"/>
  <cols>
    <col min="2" max="2" width="16" bestFit="1" customWidth="1"/>
    <col min="3" max="3" width="16.6640625" bestFit="1" customWidth="1"/>
  </cols>
  <sheetData>
    <row r="1" spans="1:3">
      <c r="B1" t="s">
        <v>131</v>
      </c>
      <c r="C1" t="s">
        <v>130</v>
      </c>
    </row>
    <row r="2" spans="1:3">
      <c r="A2" s="7" t="s">
        <v>57</v>
      </c>
      <c r="B2">
        <v>423</v>
      </c>
    </row>
    <row r="3" spans="1:3">
      <c r="A3" t="s">
        <v>56</v>
      </c>
      <c r="B3">
        <v>421</v>
      </c>
    </row>
    <row r="4" spans="1:3">
      <c r="A4" s="7" t="s">
        <v>58</v>
      </c>
      <c r="B4">
        <v>410</v>
      </c>
    </row>
    <row r="5" spans="1:3">
      <c r="A5" s="7" t="s">
        <v>59</v>
      </c>
      <c r="B5">
        <v>319</v>
      </c>
    </row>
    <row r="6" spans="1:3">
      <c r="A6" s="7" t="s">
        <v>60</v>
      </c>
      <c r="B6">
        <v>242</v>
      </c>
    </row>
    <row r="7" spans="1:3">
      <c r="A7" s="7" t="s">
        <v>61</v>
      </c>
      <c r="B7">
        <v>156</v>
      </c>
    </row>
    <row r="8" spans="1:3">
      <c r="A8" s="7" t="s">
        <v>62</v>
      </c>
      <c r="B8">
        <v>150</v>
      </c>
    </row>
    <row r="9" spans="1:3">
      <c r="A9" s="7" t="s">
        <v>63</v>
      </c>
      <c r="B9">
        <v>41</v>
      </c>
    </row>
    <row r="10" spans="1:3">
      <c r="A10" s="7" t="s">
        <v>64</v>
      </c>
      <c r="B10">
        <v>73</v>
      </c>
    </row>
    <row r="11" spans="1:3">
      <c r="A11" s="7" t="s">
        <v>66</v>
      </c>
      <c r="B11">
        <v>38</v>
      </c>
    </row>
    <row r="12" spans="1:3">
      <c r="A12" s="7" t="s">
        <v>67</v>
      </c>
      <c r="B12">
        <v>51</v>
      </c>
    </row>
    <row r="13" spans="1:3">
      <c r="A13" s="7" t="s">
        <v>68</v>
      </c>
      <c r="B13">
        <v>33</v>
      </c>
    </row>
    <row r="14" spans="1:3">
      <c r="A14" s="7" t="s">
        <v>69</v>
      </c>
      <c r="B14">
        <v>64</v>
      </c>
    </row>
    <row r="15" spans="1:3">
      <c r="A15" s="7" t="s">
        <v>70</v>
      </c>
      <c r="B15">
        <v>51</v>
      </c>
    </row>
    <row r="16" spans="1:3">
      <c r="A16" s="7" t="s">
        <v>65</v>
      </c>
      <c r="B16">
        <v>33</v>
      </c>
    </row>
    <row r="17" spans="1:3">
      <c r="A17" s="7" t="s">
        <v>71</v>
      </c>
      <c r="B17">
        <v>38</v>
      </c>
    </row>
    <row r="18" spans="1:3">
      <c r="A18" s="7" t="s">
        <v>72</v>
      </c>
      <c r="B18">
        <v>22</v>
      </c>
    </row>
    <row r="19" spans="1:3">
      <c r="A19" s="7" t="s">
        <v>73</v>
      </c>
      <c r="B19">
        <v>56</v>
      </c>
    </row>
    <row r="20" spans="1:3">
      <c r="A20" s="7" t="s">
        <v>74</v>
      </c>
      <c r="B20">
        <v>19</v>
      </c>
    </row>
    <row r="21" spans="1:3">
      <c r="A21" s="7" t="s">
        <v>75</v>
      </c>
      <c r="B21">
        <v>0</v>
      </c>
    </row>
    <row r="22" spans="1:3">
      <c r="A22" s="7" t="s">
        <v>76</v>
      </c>
      <c r="B22">
        <v>0</v>
      </c>
    </row>
    <row r="24" spans="1:3">
      <c r="B24" t="s">
        <v>129</v>
      </c>
      <c r="C24" t="s">
        <v>130</v>
      </c>
    </row>
    <row r="25" spans="1:3">
      <c r="A25" s="7" t="s">
        <v>79</v>
      </c>
      <c r="B25">
        <v>833</v>
      </c>
    </row>
    <row r="26" spans="1:3">
      <c r="A26" s="7" t="s">
        <v>80</v>
      </c>
      <c r="B26">
        <v>451</v>
      </c>
    </row>
    <row r="27" spans="1:3">
      <c r="A27" s="7" t="s">
        <v>81</v>
      </c>
      <c r="B27">
        <v>469</v>
      </c>
    </row>
    <row r="28" spans="1:3">
      <c r="A28" s="7" t="s">
        <v>82</v>
      </c>
      <c r="B28">
        <v>398</v>
      </c>
    </row>
    <row r="29" spans="1:3">
      <c r="A29" s="7" t="s">
        <v>83</v>
      </c>
      <c r="B29">
        <v>137</v>
      </c>
    </row>
    <row r="30" spans="1:3">
      <c r="A30" s="7" t="s">
        <v>84</v>
      </c>
      <c r="B30">
        <v>79</v>
      </c>
    </row>
    <row r="31" spans="1:3">
      <c r="A31" s="7" t="s">
        <v>85</v>
      </c>
      <c r="B31">
        <v>92</v>
      </c>
    </row>
    <row r="32" spans="1:3">
      <c r="A32" s="7" t="s">
        <v>86</v>
      </c>
      <c r="B32">
        <v>89</v>
      </c>
    </row>
    <row r="33" spans="1:2">
      <c r="A33" s="7" t="s">
        <v>87</v>
      </c>
      <c r="B33">
        <v>70</v>
      </c>
    </row>
    <row r="34" spans="1:2">
      <c r="A34" s="7" t="s">
        <v>88</v>
      </c>
      <c r="B34">
        <v>22</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06B962-8096-254C-9BAB-2195436586A9}">
  <sheetPr>
    <tabColor theme="5"/>
  </sheetPr>
  <dimension ref="A1:D23"/>
  <sheetViews>
    <sheetView workbookViewId="0">
      <selection activeCell="I13" sqref="I13"/>
    </sheetView>
  </sheetViews>
  <sheetFormatPr baseColWidth="10" defaultRowHeight="16"/>
  <sheetData>
    <row r="1" spans="1:4">
      <c r="B1">
        <v>1</v>
      </c>
      <c r="C1">
        <v>2</v>
      </c>
      <c r="D1">
        <v>3</v>
      </c>
    </row>
    <row r="2" spans="1:4">
      <c r="A2" t="s">
        <v>56</v>
      </c>
      <c r="B2" t="s">
        <v>120</v>
      </c>
      <c r="C2" t="s">
        <v>120</v>
      </c>
      <c r="D2" t="s">
        <v>120</v>
      </c>
    </row>
    <row r="3" spans="1:4">
      <c r="A3" t="s">
        <v>59</v>
      </c>
      <c r="B3" t="s">
        <v>81</v>
      </c>
      <c r="C3" t="s">
        <v>81</v>
      </c>
      <c r="D3" t="s">
        <v>81</v>
      </c>
    </row>
    <row r="4" spans="1:4">
      <c r="A4" t="s">
        <v>57</v>
      </c>
      <c r="B4" t="s">
        <v>79</v>
      </c>
      <c r="C4" t="s">
        <v>79</v>
      </c>
      <c r="D4" t="s">
        <v>79</v>
      </c>
    </row>
    <row r="5" spans="1:4">
      <c r="A5" t="s">
        <v>58</v>
      </c>
      <c r="B5" t="s">
        <v>79</v>
      </c>
      <c r="C5" t="s">
        <v>79</v>
      </c>
      <c r="D5" t="s">
        <v>79</v>
      </c>
    </row>
    <row r="6" spans="1:4">
      <c r="A6" t="s">
        <v>62</v>
      </c>
      <c r="B6" t="s">
        <v>81</v>
      </c>
      <c r="C6" t="s">
        <v>81</v>
      </c>
      <c r="D6" t="s">
        <v>81</v>
      </c>
    </row>
    <row r="7" spans="1:4">
      <c r="A7" t="s">
        <v>60</v>
      </c>
      <c r="B7" t="s">
        <v>82</v>
      </c>
      <c r="C7" t="s">
        <v>82</v>
      </c>
      <c r="D7" t="s">
        <v>82</v>
      </c>
    </row>
    <row r="8" spans="1:4">
      <c r="A8" t="s">
        <v>61</v>
      </c>
      <c r="B8" t="s">
        <v>82</v>
      </c>
      <c r="C8" t="s">
        <v>82</v>
      </c>
      <c r="D8" t="s">
        <v>82</v>
      </c>
    </row>
    <row r="9" spans="1:4">
      <c r="A9" t="s">
        <v>70</v>
      </c>
      <c r="B9" t="s">
        <v>120</v>
      </c>
      <c r="C9" t="s">
        <v>120</v>
      </c>
      <c r="D9" t="s">
        <v>120</v>
      </c>
    </row>
    <row r="10" spans="1:4">
      <c r="A10" t="s">
        <v>72</v>
      </c>
      <c r="B10" t="s">
        <v>88</v>
      </c>
      <c r="C10" t="s">
        <v>88</v>
      </c>
      <c r="D10" t="s">
        <v>88</v>
      </c>
    </row>
    <row r="11" spans="1:4">
      <c r="A11" t="s">
        <v>69</v>
      </c>
      <c r="B11" t="s">
        <v>83</v>
      </c>
      <c r="C11" t="s">
        <v>83</v>
      </c>
      <c r="D11" t="s">
        <v>83</v>
      </c>
    </row>
    <row r="12" spans="1:4">
      <c r="A12" t="s">
        <v>64</v>
      </c>
      <c r="B12" t="s">
        <v>83</v>
      </c>
      <c r="C12" t="s">
        <v>83</v>
      </c>
      <c r="D12" t="s">
        <v>83</v>
      </c>
    </row>
    <row r="13" spans="1:4">
      <c r="A13" t="s">
        <v>73</v>
      </c>
      <c r="B13" t="s">
        <v>121</v>
      </c>
      <c r="C13" t="s">
        <v>121</v>
      </c>
      <c r="D13" t="s">
        <v>121</v>
      </c>
    </row>
    <row r="14" spans="1:4">
      <c r="A14" t="s">
        <v>68</v>
      </c>
      <c r="B14" t="s">
        <v>121</v>
      </c>
      <c r="C14" t="s">
        <v>121</v>
      </c>
      <c r="D14" t="s">
        <v>121</v>
      </c>
    </row>
    <row r="15" spans="1:4">
      <c r="A15" t="s">
        <v>63</v>
      </c>
      <c r="B15" t="s">
        <v>123</v>
      </c>
      <c r="C15" t="s">
        <v>123</v>
      </c>
      <c r="D15" t="s">
        <v>123</v>
      </c>
    </row>
    <row r="16" spans="1:4">
      <c r="A16" t="s">
        <v>66</v>
      </c>
      <c r="B16" s="115" t="s">
        <v>123</v>
      </c>
      <c r="C16" s="115" t="s">
        <v>123</v>
      </c>
      <c r="D16" s="115" t="s">
        <v>123</v>
      </c>
    </row>
    <row r="17" spans="1:4">
      <c r="A17" t="s">
        <v>67</v>
      </c>
      <c r="B17" t="s">
        <v>127</v>
      </c>
      <c r="C17" t="s">
        <v>127</v>
      </c>
      <c r="D17" t="s">
        <v>127</v>
      </c>
    </row>
    <row r="18" spans="1:4">
      <c r="A18" t="s">
        <v>71</v>
      </c>
      <c r="B18" t="s">
        <v>124</v>
      </c>
      <c r="C18" t="s">
        <v>124</v>
      </c>
      <c r="D18" t="s">
        <v>124</v>
      </c>
    </row>
    <row r="19" spans="1:4">
      <c r="A19" t="s">
        <v>74</v>
      </c>
      <c r="B19" t="s">
        <v>127</v>
      </c>
      <c r="C19" t="s">
        <v>127</v>
      </c>
      <c r="D19" t="s">
        <v>127</v>
      </c>
    </row>
    <row r="20" spans="1:4">
      <c r="A20" t="s">
        <v>126</v>
      </c>
      <c r="B20" t="s">
        <v>124</v>
      </c>
      <c r="C20" t="s">
        <v>124</v>
      </c>
      <c r="D20" t="s">
        <v>124</v>
      </c>
    </row>
    <row r="21" spans="1:4">
      <c r="A21" t="s">
        <v>75</v>
      </c>
      <c r="B21" t="s">
        <v>88</v>
      </c>
      <c r="C21" t="s">
        <v>88</v>
      </c>
      <c r="D21" t="s">
        <v>88</v>
      </c>
    </row>
    <row r="22" spans="1:4">
      <c r="A22" t="s">
        <v>110</v>
      </c>
      <c r="B22" t="s">
        <v>128</v>
      </c>
      <c r="C22" t="s">
        <v>128</v>
      </c>
      <c r="D22" t="s">
        <v>128</v>
      </c>
    </row>
    <row r="23" spans="1:4">
      <c r="A23" t="s">
        <v>108</v>
      </c>
      <c r="B23" t="s">
        <v>128</v>
      </c>
      <c r="C23" t="s">
        <v>128</v>
      </c>
      <c r="D23" t="s">
        <v>128</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0C60DF-31AD-6E4A-9EAE-73187FB80203}">
  <sheetPr>
    <tabColor theme="5"/>
  </sheetPr>
  <dimension ref="A1:E23"/>
  <sheetViews>
    <sheetView workbookViewId="0">
      <selection activeCell="F27" sqref="F27"/>
    </sheetView>
  </sheetViews>
  <sheetFormatPr baseColWidth="10" defaultRowHeight="16"/>
  <sheetData>
    <row r="1" spans="1:5">
      <c r="B1">
        <v>1</v>
      </c>
      <c r="C1">
        <v>2</v>
      </c>
      <c r="D1">
        <v>3</v>
      </c>
      <c r="E1">
        <v>4</v>
      </c>
    </row>
    <row r="2" spans="1:5">
      <c r="A2" t="s">
        <v>56</v>
      </c>
      <c r="B2">
        <v>27.7</v>
      </c>
      <c r="C2">
        <v>28</v>
      </c>
      <c r="D2">
        <v>28.1</v>
      </c>
      <c r="E2">
        <v>28.2</v>
      </c>
    </row>
    <row r="3" spans="1:5">
      <c r="A3" t="s">
        <v>59</v>
      </c>
      <c r="B3">
        <v>27.4</v>
      </c>
      <c r="C3">
        <v>27.7</v>
      </c>
      <c r="D3">
        <v>28</v>
      </c>
      <c r="E3">
        <v>28.3</v>
      </c>
    </row>
    <row r="4" spans="1:5">
      <c r="A4" t="s">
        <v>57</v>
      </c>
      <c r="B4">
        <v>27.2</v>
      </c>
      <c r="C4">
        <v>27.1</v>
      </c>
      <c r="D4">
        <v>26.8</v>
      </c>
      <c r="E4">
        <v>26.5</v>
      </c>
    </row>
    <row r="5" spans="1:5">
      <c r="A5" t="s">
        <v>58</v>
      </c>
      <c r="B5">
        <v>25.5</v>
      </c>
      <c r="C5">
        <v>25.2</v>
      </c>
      <c r="D5">
        <v>24.9</v>
      </c>
      <c r="E5">
        <v>24.6</v>
      </c>
    </row>
    <row r="6" spans="1:5">
      <c r="A6" t="s">
        <v>62</v>
      </c>
      <c r="B6">
        <v>23.2</v>
      </c>
      <c r="C6">
        <v>23.5</v>
      </c>
      <c r="D6">
        <v>23.8</v>
      </c>
      <c r="E6">
        <v>24.1</v>
      </c>
    </row>
    <row r="7" spans="1:5">
      <c r="A7" t="s">
        <v>60</v>
      </c>
      <c r="B7">
        <v>22.8</v>
      </c>
      <c r="C7">
        <v>23.1</v>
      </c>
      <c r="D7">
        <v>23.4</v>
      </c>
      <c r="E7">
        <v>23.7</v>
      </c>
    </row>
    <row r="8" spans="1:5">
      <c r="A8" t="s">
        <v>61</v>
      </c>
      <c r="B8">
        <v>22.5</v>
      </c>
      <c r="C8">
        <v>22.6</v>
      </c>
      <c r="D8">
        <v>22.9</v>
      </c>
      <c r="E8">
        <v>23.2</v>
      </c>
    </row>
    <row r="9" spans="1:5">
      <c r="A9" t="s">
        <v>70</v>
      </c>
      <c r="B9">
        <v>15.1</v>
      </c>
      <c r="C9">
        <v>14.5</v>
      </c>
      <c r="D9">
        <v>13.9</v>
      </c>
      <c r="E9">
        <v>13.3</v>
      </c>
    </row>
    <row r="10" spans="1:5">
      <c r="A10" t="s">
        <v>72</v>
      </c>
      <c r="B10">
        <v>12</v>
      </c>
      <c r="C10">
        <v>12.2</v>
      </c>
      <c r="D10">
        <v>12.8</v>
      </c>
      <c r="E10">
        <v>13</v>
      </c>
    </row>
    <row r="11" spans="1:5">
      <c r="A11" t="s">
        <v>69</v>
      </c>
      <c r="B11">
        <v>11.8</v>
      </c>
      <c r="C11">
        <v>11.6</v>
      </c>
      <c r="D11">
        <v>12.2</v>
      </c>
      <c r="E11">
        <v>12.4</v>
      </c>
    </row>
    <row r="12" spans="1:5">
      <c r="A12" t="s">
        <v>64</v>
      </c>
      <c r="B12">
        <v>11.6</v>
      </c>
      <c r="C12">
        <v>11.4</v>
      </c>
      <c r="D12">
        <v>10.8</v>
      </c>
      <c r="E12">
        <v>10.199999999999999</v>
      </c>
    </row>
    <row r="13" spans="1:5">
      <c r="A13" t="s">
        <v>73</v>
      </c>
      <c r="B13">
        <v>10</v>
      </c>
      <c r="C13">
        <v>9.4</v>
      </c>
      <c r="D13">
        <v>8.8000000000000007</v>
      </c>
      <c r="E13">
        <v>8.1999999999999993</v>
      </c>
    </row>
    <row r="14" spans="1:5">
      <c r="A14" t="s">
        <v>68</v>
      </c>
      <c r="B14">
        <v>8</v>
      </c>
      <c r="C14">
        <v>7.4</v>
      </c>
      <c r="D14">
        <v>6.8</v>
      </c>
      <c r="E14">
        <v>6.2</v>
      </c>
    </row>
    <row r="15" spans="1:5">
      <c r="A15" t="s">
        <v>63</v>
      </c>
      <c r="B15">
        <v>7.4</v>
      </c>
      <c r="C15">
        <v>8</v>
      </c>
      <c r="D15">
        <v>8.6</v>
      </c>
      <c r="E15">
        <v>9.1999999999999993</v>
      </c>
    </row>
    <row r="16" spans="1:5">
      <c r="A16" t="s">
        <v>66</v>
      </c>
      <c r="B16">
        <v>7.3</v>
      </c>
      <c r="C16">
        <v>7.9</v>
      </c>
      <c r="D16">
        <v>8.5</v>
      </c>
      <c r="E16">
        <v>9.1</v>
      </c>
    </row>
    <row r="17" spans="1:5">
      <c r="A17" t="s">
        <v>67</v>
      </c>
      <c r="B17">
        <v>6.8</v>
      </c>
      <c r="C17">
        <v>6.2</v>
      </c>
      <c r="D17">
        <v>5.6</v>
      </c>
      <c r="E17">
        <v>5</v>
      </c>
    </row>
    <row r="18" spans="1:5">
      <c r="A18" t="s">
        <v>71</v>
      </c>
      <c r="B18">
        <v>6.5</v>
      </c>
      <c r="C18">
        <v>6.3</v>
      </c>
      <c r="D18">
        <v>6.9</v>
      </c>
      <c r="E18">
        <v>7.5</v>
      </c>
    </row>
    <row r="19" spans="1:5">
      <c r="A19" t="s">
        <v>74</v>
      </c>
      <c r="B19">
        <v>6.4</v>
      </c>
      <c r="C19">
        <v>7</v>
      </c>
      <c r="D19">
        <v>6.4</v>
      </c>
      <c r="E19">
        <v>5.8</v>
      </c>
    </row>
    <row r="20" spans="1:5">
      <c r="A20" t="s">
        <v>126</v>
      </c>
      <c r="B20">
        <v>6.2</v>
      </c>
      <c r="C20">
        <v>6.8</v>
      </c>
      <c r="D20">
        <v>7.4</v>
      </c>
      <c r="E20">
        <v>7.6</v>
      </c>
    </row>
    <row r="21" spans="1:5">
      <c r="A21" t="s">
        <v>75</v>
      </c>
      <c r="B21">
        <v>6.2</v>
      </c>
      <c r="C21">
        <v>6.4</v>
      </c>
      <c r="D21">
        <v>7</v>
      </c>
      <c r="E21">
        <v>7.6</v>
      </c>
    </row>
    <row r="22" spans="1:5">
      <c r="A22" t="s">
        <v>110</v>
      </c>
      <c r="B22">
        <v>6</v>
      </c>
      <c r="C22">
        <v>5.8</v>
      </c>
      <c r="D22">
        <v>6.4</v>
      </c>
      <c r="E22">
        <v>7</v>
      </c>
    </row>
    <row r="23" spans="1:5">
      <c r="A23" t="s">
        <v>108</v>
      </c>
      <c r="B23">
        <v>5.9</v>
      </c>
      <c r="C23">
        <v>5.3</v>
      </c>
      <c r="D23">
        <v>4.7</v>
      </c>
      <c r="E23">
        <v>4.5</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EA9C8-E1AF-D845-8373-88D8D9F73DCC}">
  <sheetPr>
    <tabColor theme="5"/>
  </sheetPr>
  <dimension ref="A1:E23"/>
  <sheetViews>
    <sheetView workbookViewId="0">
      <selection activeCell="E2" sqref="E2"/>
    </sheetView>
  </sheetViews>
  <sheetFormatPr baseColWidth="10" defaultRowHeight="16"/>
  <sheetData>
    <row r="1" spans="1:5">
      <c r="B1">
        <v>1</v>
      </c>
      <c r="C1">
        <v>2</v>
      </c>
      <c r="D1">
        <v>3</v>
      </c>
      <c r="E1">
        <v>4</v>
      </c>
    </row>
    <row r="2" spans="1:5">
      <c r="A2" t="s">
        <v>56</v>
      </c>
      <c r="B2">
        <v>50</v>
      </c>
      <c r="C2">
        <v>14</v>
      </c>
      <c r="D2">
        <v>13</v>
      </c>
    </row>
    <row r="3" spans="1:5">
      <c r="A3" t="s">
        <v>59</v>
      </c>
      <c r="B3">
        <v>39</v>
      </c>
      <c r="C3">
        <v>45</v>
      </c>
      <c r="D3">
        <v>27</v>
      </c>
    </row>
    <row r="4" spans="1:5">
      <c r="A4" t="s">
        <v>57</v>
      </c>
      <c r="B4">
        <v>21</v>
      </c>
      <c r="C4">
        <v>-10</v>
      </c>
      <c r="D4">
        <v>24</v>
      </c>
    </row>
    <row r="5" spans="1:5">
      <c r="A5" t="s">
        <v>58</v>
      </c>
      <c r="B5">
        <v>-14</v>
      </c>
      <c r="C5">
        <v>-7</v>
      </c>
      <c r="D5">
        <v>43</v>
      </c>
    </row>
    <row r="6" spans="1:5">
      <c r="A6" t="s">
        <v>62</v>
      </c>
      <c r="B6">
        <v>32</v>
      </c>
      <c r="C6">
        <v>68</v>
      </c>
      <c r="D6">
        <v>50</v>
      </c>
    </row>
    <row r="7" spans="1:5">
      <c r="A7" t="s">
        <v>60</v>
      </c>
      <c r="B7">
        <v>29</v>
      </c>
      <c r="C7">
        <v>51</v>
      </c>
      <c r="D7">
        <v>31</v>
      </c>
    </row>
    <row r="8" spans="1:5">
      <c r="A8" t="s">
        <v>61</v>
      </c>
      <c r="B8">
        <v>25</v>
      </c>
      <c r="C8">
        <v>48</v>
      </c>
      <c r="D8">
        <v>19</v>
      </c>
    </row>
    <row r="9" spans="1:5">
      <c r="A9" t="s">
        <v>70</v>
      </c>
      <c r="B9">
        <v>-8</v>
      </c>
      <c r="C9">
        <v>19</v>
      </c>
      <c r="D9">
        <v>5</v>
      </c>
    </row>
    <row r="10" spans="1:5">
      <c r="A10" t="s">
        <v>72</v>
      </c>
      <c r="B10">
        <v>11</v>
      </c>
      <c r="C10">
        <v>20</v>
      </c>
      <c r="D10">
        <v>14</v>
      </c>
    </row>
    <row r="11" spans="1:5">
      <c r="A11" t="s">
        <v>69</v>
      </c>
      <c r="B11">
        <v>9</v>
      </c>
      <c r="C11">
        <v>28</v>
      </c>
      <c r="D11">
        <v>4</v>
      </c>
    </row>
    <row r="12" spans="1:5">
      <c r="A12" t="s">
        <v>64</v>
      </c>
      <c r="B12">
        <v>8</v>
      </c>
      <c r="C12">
        <v>-7</v>
      </c>
      <c r="D12">
        <v>-1</v>
      </c>
    </row>
    <row r="13" spans="1:5">
      <c r="A13" t="s">
        <v>73</v>
      </c>
      <c r="B13">
        <v>-14</v>
      </c>
      <c r="C13">
        <v>-7</v>
      </c>
      <c r="D13">
        <v>4</v>
      </c>
    </row>
    <row r="14" spans="1:5">
      <c r="A14" t="s">
        <v>68</v>
      </c>
      <c r="B14">
        <v>-23</v>
      </c>
      <c r="C14">
        <v>-14</v>
      </c>
      <c r="D14">
        <v>-17</v>
      </c>
    </row>
    <row r="15" spans="1:5">
      <c r="A15" t="s">
        <v>63</v>
      </c>
      <c r="B15">
        <v>20</v>
      </c>
      <c r="C15">
        <v>34</v>
      </c>
      <c r="D15">
        <v>-14</v>
      </c>
    </row>
    <row r="16" spans="1:5">
      <c r="A16" t="s">
        <v>66</v>
      </c>
      <c r="B16">
        <v>9</v>
      </c>
      <c r="C16">
        <v>24</v>
      </c>
      <c r="D16">
        <v>9</v>
      </c>
    </row>
    <row r="17" spans="1:4">
      <c r="A17" t="s">
        <v>67</v>
      </c>
      <c r="B17">
        <v>-20</v>
      </c>
      <c r="C17">
        <v>7</v>
      </c>
      <c r="D17">
        <v>10</v>
      </c>
    </row>
    <row r="18" spans="1:4">
      <c r="A18" t="s">
        <v>71</v>
      </c>
      <c r="B18">
        <v>5</v>
      </c>
      <c r="C18">
        <v>35</v>
      </c>
      <c r="D18">
        <v>10</v>
      </c>
    </row>
    <row r="19" spans="1:4">
      <c r="A19" t="s">
        <v>74</v>
      </c>
      <c r="B19">
        <v>13</v>
      </c>
      <c r="C19">
        <v>-14</v>
      </c>
      <c r="D19">
        <v>3</v>
      </c>
    </row>
    <row r="20" spans="1:4">
      <c r="A20" t="s">
        <v>126</v>
      </c>
      <c r="B20">
        <v>15</v>
      </c>
      <c r="C20">
        <v>7</v>
      </c>
      <c r="D20">
        <v>1</v>
      </c>
    </row>
    <row r="21" spans="1:4">
      <c r="A21" t="s">
        <v>75</v>
      </c>
      <c r="B21">
        <v>6</v>
      </c>
      <c r="C21">
        <v>18</v>
      </c>
      <c r="D21">
        <v>4</v>
      </c>
    </row>
    <row r="22" spans="1:4">
      <c r="A22" t="s">
        <v>110</v>
      </c>
      <c r="B22">
        <v>4</v>
      </c>
      <c r="C22">
        <v>20</v>
      </c>
      <c r="D22">
        <v>4</v>
      </c>
    </row>
    <row r="23" spans="1:4">
      <c r="A23" t="s">
        <v>108</v>
      </c>
      <c r="B23">
        <v>-16</v>
      </c>
      <c r="C23">
        <v>3</v>
      </c>
      <c r="D23">
        <v>2</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40109A-1189-4C4E-A980-D15086BC608D}">
  <sheetPr>
    <tabColor theme="5"/>
  </sheetPr>
  <dimension ref="A1:E12"/>
  <sheetViews>
    <sheetView workbookViewId="0">
      <selection activeCell="E13" sqref="E13"/>
    </sheetView>
  </sheetViews>
  <sheetFormatPr baseColWidth="10" defaultRowHeight="16"/>
  <sheetData>
    <row r="1" spans="1:5">
      <c r="B1">
        <v>1</v>
      </c>
      <c r="C1">
        <v>2</v>
      </c>
      <c r="D1">
        <v>3</v>
      </c>
      <c r="E1">
        <v>4</v>
      </c>
    </row>
    <row r="2" spans="1:5">
      <c r="A2" t="s">
        <v>81</v>
      </c>
      <c r="B2">
        <v>29.3</v>
      </c>
      <c r="C2">
        <v>29.6</v>
      </c>
      <c r="D2">
        <v>29.9</v>
      </c>
      <c r="E2">
        <v>30.2</v>
      </c>
    </row>
    <row r="3" spans="1:5">
      <c r="A3" t="s">
        <v>79</v>
      </c>
      <c r="B3">
        <v>28.9</v>
      </c>
      <c r="C3">
        <v>28.8</v>
      </c>
      <c r="D3">
        <v>28.5</v>
      </c>
      <c r="E3">
        <v>28.6</v>
      </c>
    </row>
    <row r="4" spans="1:5">
      <c r="A4" t="s">
        <v>120</v>
      </c>
      <c r="B4">
        <v>28.2</v>
      </c>
      <c r="C4">
        <v>28.5</v>
      </c>
      <c r="D4">
        <v>28.8</v>
      </c>
      <c r="E4">
        <v>29.1</v>
      </c>
    </row>
    <row r="5" spans="1:5">
      <c r="A5" t="s">
        <v>82</v>
      </c>
      <c r="B5">
        <v>23.3</v>
      </c>
      <c r="C5">
        <v>23.6</v>
      </c>
      <c r="D5">
        <v>23.9</v>
      </c>
      <c r="E5">
        <v>24.2</v>
      </c>
    </row>
    <row r="6" spans="1:5">
      <c r="A6" t="s">
        <v>88</v>
      </c>
      <c r="B6">
        <v>12.5</v>
      </c>
      <c r="C6">
        <v>13.1</v>
      </c>
      <c r="D6">
        <v>13.7</v>
      </c>
      <c r="E6">
        <v>14.3</v>
      </c>
    </row>
    <row r="7" spans="1:5">
      <c r="A7" t="s">
        <v>83</v>
      </c>
      <c r="B7">
        <v>12</v>
      </c>
      <c r="C7">
        <v>12.6</v>
      </c>
      <c r="D7">
        <v>13.2</v>
      </c>
      <c r="E7">
        <v>13.8</v>
      </c>
    </row>
    <row r="8" spans="1:5">
      <c r="A8" t="s">
        <v>121</v>
      </c>
      <c r="B8">
        <v>10.3</v>
      </c>
      <c r="C8">
        <v>9.6999999999999993</v>
      </c>
      <c r="D8">
        <v>9.1</v>
      </c>
      <c r="E8">
        <v>8.5</v>
      </c>
    </row>
    <row r="9" spans="1:5">
      <c r="A9" t="s">
        <v>123</v>
      </c>
      <c r="B9">
        <v>7.4</v>
      </c>
      <c r="C9">
        <v>8</v>
      </c>
      <c r="D9">
        <v>8.6</v>
      </c>
      <c r="E9">
        <v>9.1999999999999993</v>
      </c>
    </row>
    <row r="10" spans="1:5">
      <c r="A10" t="s">
        <v>127</v>
      </c>
      <c r="B10">
        <v>6.6</v>
      </c>
      <c r="C10">
        <v>6</v>
      </c>
      <c r="D10">
        <v>5.4</v>
      </c>
      <c r="E10">
        <v>5.6</v>
      </c>
    </row>
    <row r="11" spans="1:5">
      <c r="A11" t="s">
        <v>124</v>
      </c>
      <c r="B11">
        <v>6.3</v>
      </c>
      <c r="C11">
        <v>6.9</v>
      </c>
      <c r="D11">
        <v>7.5</v>
      </c>
      <c r="E11">
        <v>8.1</v>
      </c>
    </row>
    <row r="12" spans="1:5">
      <c r="A12" t="s">
        <v>128</v>
      </c>
      <c r="B12">
        <v>6</v>
      </c>
      <c r="C12">
        <v>5.4</v>
      </c>
      <c r="D12">
        <v>5.2</v>
      </c>
      <c r="E12">
        <v>5.4</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0F9C2F-E669-1446-8D53-C220264C1B10}">
  <sheetPr>
    <tabColor theme="5"/>
  </sheetPr>
  <dimension ref="A1:E12"/>
  <sheetViews>
    <sheetView tabSelected="1" workbookViewId="0">
      <selection activeCell="E2" sqref="E2"/>
    </sheetView>
  </sheetViews>
  <sheetFormatPr baseColWidth="10" defaultRowHeight="16"/>
  <sheetData>
    <row r="1" spans="1:5">
      <c r="B1">
        <v>1</v>
      </c>
      <c r="C1">
        <v>2</v>
      </c>
      <c r="D1">
        <v>3</v>
      </c>
      <c r="E1">
        <v>4</v>
      </c>
    </row>
    <row r="2" spans="1:5">
      <c r="A2" t="s">
        <v>81</v>
      </c>
      <c r="B2">
        <v>96</v>
      </c>
      <c r="C2">
        <v>115</v>
      </c>
      <c r="D2">
        <v>92</v>
      </c>
    </row>
    <row r="3" spans="1:5">
      <c r="A3" t="s">
        <v>79</v>
      </c>
      <c r="B3">
        <v>19</v>
      </c>
      <c r="C3">
        <v>-7</v>
      </c>
      <c r="D3">
        <v>75</v>
      </c>
    </row>
    <row r="4" spans="1:5">
      <c r="A4" t="s">
        <v>120</v>
      </c>
      <c r="B4">
        <v>42</v>
      </c>
      <c r="C4">
        <v>45</v>
      </c>
      <c r="D4">
        <v>25</v>
      </c>
    </row>
    <row r="5" spans="1:5">
      <c r="A5" t="s">
        <v>82</v>
      </c>
      <c r="B5">
        <v>69</v>
      </c>
      <c r="C5">
        <v>119</v>
      </c>
      <c r="D5">
        <v>75</v>
      </c>
    </row>
    <row r="6" spans="1:5">
      <c r="A6" t="s">
        <v>88</v>
      </c>
      <c r="B6">
        <v>22</v>
      </c>
      <c r="C6">
        <v>45</v>
      </c>
      <c r="D6">
        <v>25</v>
      </c>
    </row>
    <row r="7" spans="1:5">
      <c r="A7" t="s">
        <v>83</v>
      </c>
      <c r="B7">
        <v>20</v>
      </c>
      <c r="C7">
        <v>22</v>
      </c>
      <c r="D7">
        <v>9</v>
      </c>
    </row>
    <row r="8" spans="1:5">
      <c r="A8" t="s">
        <v>121</v>
      </c>
      <c r="B8">
        <v>-38</v>
      </c>
      <c r="C8">
        <v>-20</v>
      </c>
      <c r="D8">
        <v>-12</v>
      </c>
    </row>
    <row r="9" spans="1:5">
      <c r="A9" t="s">
        <v>123</v>
      </c>
      <c r="B9">
        <v>34</v>
      </c>
      <c r="C9">
        <v>65</v>
      </c>
      <c r="D9">
        <v>-4</v>
      </c>
    </row>
    <row r="10" spans="1:5">
      <c r="A10" t="s">
        <v>127</v>
      </c>
      <c r="B10">
        <v>0</v>
      </c>
      <c r="C10">
        <v>-4</v>
      </c>
      <c r="D10">
        <v>23</v>
      </c>
    </row>
    <row r="11" spans="1:5">
      <c r="A11" t="s">
        <v>124</v>
      </c>
      <c r="B11">
        <v>35</v>
      </c>
      <c r="C11">
        <v>50</v>
      </c>
      <c r="D11">
        <v>18</v>
      </c>
    </row>
    <row r="12" spans="1:5">
      <c r="A12" t="s">
        <v>128</v>
      </c>
      <c r="B12">
        <v>-13</v>
      </c>
      <c r="C12">
        <v>22</v>
      </c>
      <c r="D12">
        <v>5</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812D15-3AA9-354D-8EE3-22795DBEB8E2}">
  <sheetPr>
    <tabColor rgb="FFC00000"/>
  </sheetPr>
  <dimension ref="A1:L7"/>
  <sheetViews>
    <sheetView workbookViewId="0">
      <selection activeCell="H15" sqref="H14:H15"/>
    </sheetView>
  </sheetViews>
  <sheetFormatPr baseColWidth="10" defaultRowHeight="16"/>
  <cols>
    <col min="4" max="5" width="12.33203125" bestFit="1" customWidth="1"/>
    <col min="11" max="11" width="11.6640625" bestFit="1" customWidth="1"/>
  </cols>
  <sheetData>
    <row r="1" spans="1:12">
      <c r="A1" t="s">
        <v>175</v>
      </c>
      <c r="B1" t="s">
        <v>178</v>
      </c>
      <c r="C1" t="s">
        <v>179</v>
      </c>
      <c r="D1" t="s">
        <v>164</v>
      </c>
      <c r="E1" t="s">
        <v>165</v>
      </c>
      <c r="F1" t="s">
        <v>166</v>
      </c>
      <c r="G1" t="s">
        <v>167</v>
      </c>
      <c r="H1" t="s">
        <v>168</v>
      </c>
      <c r="I1" t="s">
        <v>169</v>
      </c>
      <c r="J1" t="s">
        <v>170</v>
      </c>
      <c r="K1" t="s">
        <v>171</v>
      </c>
      <c r="L1" t="s">
        <v>172</v>
      </c>
    </row>
    <row r="2" spans="1:12">
      <c r="A2" t="s">
        <v>176</v>
      </c>
      <c r="B2">
        <v>2026</v>
      </c>
      <c r="C2">
        <v>1</v>
      </c>
      <c r="D2" t="s">
        <v>82</v>
      </c>
      <c r="E2" t="s">
        <v>124</v>
      </c>
      <c r="F2" t="s">
        <v>56</v>
      </c>
      <c r="G2" t="s">
        <v>60</v>
      </c>
      <c r="H2" t="s">
        <v>67</v>
      </c>
      <c r="I2" t="s">
        <v>75</v>
      </c>
      <c r="J2" t="s">
        <v>71</v>
      </c>
      <c r="K2" t="s">
        <v>56</v>
      </c>
      <c r="L2" t="s">
        <v>173</v>
      </c>
    </row>
    <row r="3" spans="1:12">
      <c r="A3" t="s">
        <v>177</v>
      </c>
      <c r="B3">
        <v>2026</v>
      </c>
      <c r="C3">
        <v>1</v>
      </c>
      <c r="D3" t="s">
        <v>79</v>
      </c>
      <c r="E3" t="s">
        <v>124</v>
      </c>
      <c r="F3" t="s">
        <v>56</v>
      </c>
      <c r="G3" t="s">
        <v>70</v>
      </c>
      <c r="H3" t="s">
        <v>67</v>
      </c>
      <c r="I3" t="s">
        <v>75</v>
      </c>
      <c r="J3" t="s">
        <v>71</v>
      </c>
      <c r="K3" t="s">
        <v>56</v>
      </c>
      <c r="L3" t="s">
        <v>174</v>
      </c>
    </row>
    <row r="4" spans="1:12">
      <c r="A4" t="s">
        <v>180</v>
      </c>
      <c r="B4">
        <v>2026</v>
      </c>
      <c r="C4">
        <v>2</v>
      </c>
      <c r="D4" t="s">
        <v>81</v>
      </c>
      <c r="E4" t="s">
        <v>124</v>
      </c>
      <c r="F4" t="s">
        <v>56</v>
      </c>
      <c r="G4" t="s">
        <v>63</v>
      </c>
      <c r="H4" t="s">
        <v>67</v>
      </c>
      <c r="I4" t="s">
        <v>75</v>
      </c>
      <c r="J4" t="s">
        <v>71</v>
      </c>
      <c r="K4" t="s">
        <v>56</v>
      </c>
      <c r="L4" t="s">
        <v>173</v>
      </c>
    </row>
    <row r="5" spans="1:12">
      <c r="A5" t="s">
        <v>181</v>
      </c>
      <c r="B5">
        <v>2026</v>
      </c>
      <c r="C5">
        <v>2</v>
      </c>
      <c r="D5" t="s">
        <v>81</v>
      </c>
      <c r="E5" t="s">
        <v>124</v>
      </c>
      <c r="F5" t="s">
        <v>56</v>
      </c>
      <c r="G5" t="s">
        <v>63</v>
      </c>
      <c r="H5" t="s">
        <v>126</v>
      </c>
      <c r="I5" t="s">
        <v>74</v>
      </c>
      <c r="J5" t="s">
        <v>72</v>
      </c>
      <c r="K5" t="s">
        <v>56</v>
      </c>
      <c r="L5" t="s">
        <v>174</v>
      </c>
    </row>
    <row r="6" spans="1:12">
      <c r="A6" t="s">
        <v>182</v>
      </c>
      <c r="B6">
        <v>2026</v>
      </c>
      <c r="C6">
        <v>3</v>
      </c>
      <c r="D6" t="s">
        <v>81</v>
      </c>
      <c r="E6" t="s">
        <v>124</v>
      </c>
      <c r="F6" t="s">
        <v>59</v>
      </c>
      <c r="G6" t="s">
        <v>63</v>
      </c>
      <c r="H6" t="s">
        <v>70</v>
      </c>
      <c r="I6" t="s">
        <v>67</v>
      </c>
      <c r="J6" t="s">
        <v>71</v>
      </c>
      <c r="K6" t="s">
        <v>59</v>
      </c>
      <c r="L6" t="s">
        <v>173</v>
      </c>
    </row>
    <row r="7" spans="1:12">
      <c r="A7" t="s">
        <v>183</v>
      </c>
      <c r="B7">
        <v>2026</v>
      </c>
      <c r="C7">
        <v>3</v>
      </c>
      <c r="D7" t="s">
        <v>81</v>
      </c>
      <c r="E7" t="s">
        <v>124</v>
      </c>
      <c r="F7" t="s">
        <v>58</v>
      </c>
      <c r="G7" t="s">
        <v>63</v>
      </c>
      <c r="H7" t="s">
        <v>126</v>
      </c>
      <c r="I7" t="s">
        <v>74</v>
      </c>
      <c r="J7" t="s">
        <v>72</v>
      </c>
      <c r="K7" t="s">
        <v>58</v>
      </c>
      <c r="L7" t="s">
        <v>174</v>
      </c>
    </row>
  </sheetData>
  <pageMargins left="0.7" right="0.7" top="0.75" bottom="0.75" header="0.3" footer="0.3"/>
  <pageSetup orientation="portrait" horizontalDpi="0" verticalDpi="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D7E425-992A-BC42-934A-3213DD9ABCEF}">
  <dimension ref="A1"/>
  <sheetViews>
    <sheetView workbookViewId="0"/>
  </sheetViews>
  <sheetFormatPr baseColWidth="10" defaultRowHeight="16"/>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218345-D5C1-2247-B64C-C87440086A7F}">
  <dimension ref="A1:AG81"/>
  <sheetViews>
    <sheetView zoomScale="109" workbookViewId="0">
      <pane ySplit="2" topLeftCell="A3" activePane="bottomLeft" state="frozen"/>
      <selection pane="bottomLeft" activeCell="F7" sqref="F7"/>
    </sheetView>
  </sheetViews>
  <sheetFormatPr baseColWidth="10" defaultRowHeight="16"/>
  <cols>
    <col min="1" max="1" width="20.1640625" bestFit="1" customWidth="1"/>
    <col min="2" max="2" width="12.5" customWidth="1"/>
    <col min="3" max="3" width="17.6640625" customWidth="1"/>
    <col min="20" max="20" width="11.33203125" bestFit="1" customWidth="1"/>
  </cols>
  <sheetData>
    <row r="1" spans="1:33" ht="17" thickBot="1"/>
    <row r="2" spans="1:33" ht="17" thickBot="1">
      <c r="A2" s="125" t="s">
        <v>154</v>
      </c>
      <c r="B2" s="125">
        <v>1</v>
      </c>
      <c r="C2" s="126">
        <v>2</v>
      </c>
      <c r="D2" s="126">
        <v>3</v>
      </c>
      <c r="E2" s="126">
        <v>4</v>
      </c>
      <c r="F2" s="126">
        <v>5</v>
      </c>
      <c r="G2" s="126">
        <v>6</v>
      </c>
      <c r="H2" s="126">
        <v>7</v>
      </c>
      <c r="I2" s="126">
        <v>8</v>
      </c>
      <c r="J2" s="126">
        <v>9</v>
      </c>
      <c r="K2" s="126">
        <v>10</v>
      </c>
      <c r="L2" s="126">
        <v>11</v>
      </c>
      <c r="M2" s="126">
        <v>12</v>
      </c>
      <c r="N2" s="126">
        <v>13</v>
      </c>
      <c r="O2" s="126">
        <v>14</v>
      </c>
      <c r="P2" s="126">
        <v>15</v>
      </c>
      <c r="Q2" s="126">
        <v>16</v>
      </c>
      <c r="R2" s="126">
        <v>17</v>
      </c>
      <c r="S2" s="126">
        <v>18</v>
      </c>
      <c r="T2" s="126">
        <v>19</v>
      </c>
      <c r="U2" s="126">
        <v>20</v>
      </c>
      <c r="V2" s="126">
        <v>21</v>
      </c>
      <c r="W2" s="126">
        <v>22</v>
      </c>
      <c r="X2" s="126">
        <v>23</v>
      </c>
      <c r="Y2" s="127">
        <v>24</v>
      </c>
    </row>
    <row r="3" spans="1:33" ht="18">
      <c r="A3" s="128" t="s">
        <v>133</v>
      </c>
      <c r="B3" s="137"/>
      <c r="C3" s="138"/>
      <c r="D3" s="138"/>
      <c r="E3" s="138"/>
      <c r="F3" s="138"/>
      <c r="G3" s="138"/>
      <c r="H3" s="138"/>
      <c r="I3" s="138"/>
      <c r="J3" s="138"/>
      <c r="K3" s="138"/>
      <c r="L3" s="138"/>
      <c r="M3" s="138"/>
      <c r="N3" s="138"/>
      <c r="O3" s="138"/>
      <c r="P3" s="138"/>
      <c r="Q3" s="138"/>
      <c r="R3" s="138"/>
      <c r="S3" s="138"/>
      <c r="T3" s="138"/>
      <c r="U3" s="138"/>
      <c r="V3" s="138"/>
      <c r="W3" s="131"/>
      <c r="X3" s="138"/>
      <c r="Y3" s="139"/>
      <c r="Z3" s="116"/>
    </row>
    <row r="4" spans="1:33" ht="18">
      <c r="A4" s="121"/>
      <c r="B4" s="132"/>
      <c r="C4" s="131"/>
      <c r="D4" s="131"/>
      <c r="E4" s="131"/>
      <c r="F4" s="131"/>
      <c r="G4" s="131"/>
      <c r="H4" s="131"/>
      <c r="I4" s="131"/>
      <c r="J4" s="131"/>
      <c r="K4" s="131"/>
      <c r="L4" s="131"/>
      <c r="M4" s="131"/>
      <c r="N4" s="131"/>
      <c r="O4" s="131"/>
      <c r="P4" s="131"/>
      <c r="Q4" s="131"/>
      <c r="R4" s="131"/>
      <c r="S4" s="131"/>
      <c r="T4" s="131"/>
      <c r="U4" s="131"/>
      <c r="V4" s="131"/>
      <c r="W4" s="131"/>
      <c r="X4" s="131"/>
      <c r="Y4" s="133"/>
      <c r="Z4" s="116"/>
    </row>
    <row r="5" spans="1:33" ht="18">
      <c r="A5" s="121"/>
      <c r="B5" s="132"/>
      <c r="C5" s="131"/>
      <c r="D5" s="131"/>
      <c r="E5" s="131"/>
      <c r="F5" s="131"/>
      <c r="G5" s="131"/>
      <c r="H5" s="131"/>
      <c r="I5" s="131"/>
      <c r="J5" s="131"/>
      <c r="K5" s="131"/>
      <c r="L5" s="131"/>
      <c r="M5" s="131"/>
      <c r="N5" s="131"/>
      <c r="O5" s="131"/>
      <c r="P5" s="131"/>
      <c r="Q5" s="131"/>
      <c r="R5" s="131"/>
      <c r="S5" s="131"/>
      <c r="T5" s="131"/>
      <c r="U5" s="131"/>
      <c r="V5" s="131"/>
      <c r="W5" s="131"/>
      <c r="X5" s="131"/>
      <c r="Y5" s="133"/>
      <c r="Z5" s="116"/>
    </row>
    <row r="6" spans="1:33" ht="18">
      <c r="A6" s="121"/>
      <c r="B6" s="132"/>
      <c r="C6" s="131"/>
      <c r="D6" s="131"/>
      <c r="E6" s="131"/>
      <c r="F6" s="131"/>
      <c r="G6" s="131"/>
      <c r="H6" s="131"/>
      <c r="I6" s="131"/>
      <c r="J6" s="131"/>
      <c r="K6" s="131"/>
      <c r="L6" s="131"/>
      <c r="M6" s="131"/>
      <c r="N6" s="131"/>
      <c r="O6" s="131"/>
      <c r="P6" s="131"/>
      <c r="Q6" s="131"/>
      <c r="R6" s="131"/>
      <c r="S6" s="131"/>
      <c r="T6" s="131"/>
      <c r="U6" s="131"/>
      <c r="V6" s="131"/>
      <c r="W6" s="131"/>
      <c r="X6" s="131"/>
      <c r="Y6" s="133"/>
      <c r="Z6" s="116"/>
    </row>
    <row r="7" spans="1:33" ht="18">
      <c r="A7" s="121"/>
      <c r="B7" s="132"/>
      <c r="C7" s="132"/>
      <c r="D7" s="131"/>
      <c r="E7" s="131"/>
      <c r="F7" s="131"/>
      <c r="G7" s="131"/>
      <c r="H7" s="131"/>
      <c r="I7" s="131"/>
      <c r="J7" s="131"/>
      <c r="K7" s="131"/>
      <c r="L7" s="131"/>
      <c r="M7" s="131"/>
      <c r="N7" s="131"/>
      <c r="O7" s="131"/>
      <c r="P7" s="131"/>
      <c r="Q7" s="131"/>
      <c r="R7" s="131"/>
      <c r="S7" s="131"/>
      <c r="T7" s="131"/>
      <c r="U7" s="131"/>
      <c r="V7" s="131"/>
      <c r="W7" s="131"/>
      <c r="X7" s="131"/>
      <c r="Y7" s="133"/>
      <c r="Z7" s="116"/>
    </row>
    <row r="8" spans="1:33" ht="18">
      <c r="A8" s="121"/>
      <c r="B8" s="132"/>
      <c r="C8" s="132"/>
      <c r="D8" s="131"/>
      <c r="E8" s="131"/>
      <c r="F8" s="131"/>
      <c r="G8" s="131"/>
      <c r="H8" s="131"/>
      <c r="I8" s="131"/>
      <c r="J8" s="131"/>
      <c r="K8" s="131"/>
      <c r="L8" s="131"/>
      <c r="M8" s="131"/>
      <c r="N8" s="131"/>
      <c r="O8" s="131"/>
      <c r="P8" s="131"/>
      <c r="Q8" s="131"/>
      <c r="R8" s="131"/>
      <c r="S8" s="131"/>
      <c r="T8" s="131"/>
      <c r="U8" s="131"/>
      <c r="V8" s="131"/>
      <c r="W8" s="131"/>
      <c r="X8" s="131"/>
      <c r="Y8" s="133"/>
      <c r="Z8" s="116"/>
    </row>
    <row r="9" spans="1:33" ht="18">
      <c r="A9" s="121"/>
      <c r="B9" s="132"/>
      <c r="C9" s="131"/>
      <c r="D9" s="131"/>
      <c r="E9" s="131"/>
      <c r="F9" s="131"/>
      <c r="G9" s="131"/>
      <c r="H9" s="131"/>
      <c r="I9" s="131"/>
      <c r="J9" s="131"/>
      <c r="K9" s="131"/>
      <c r="L9" s="131"/>
      <c r="M9" s="131"/>
      <c r="N9" s="131"/>
      <c r="O9" s="131"/>
      <c r="P9" s="131"/>
      <c r="Q9" s="131"/>
      <c r="R9" s="131"/>
      <c r="S9" s="131"/>
      <c r="T9" s="131"/>
      <c r="U9" s="131"/>
      <c r="V9" s="131"/>
      <c r="W9" s="131"/>
      <c r="X9" s="131"/>
      <c r="Y9" s="133"/>
      <c r="Z9" s="116"/>
    </row>
    <row r="10" spans="1:33" ht="18">
      <c r="A10" s="121"/>
      <c r="B10" s="132"/>
      <c r="C10" s="131"/>
      <c r="D10" s="131"/>
      <c r="E10" s="131"/>
      <c r="F10" s="131"/>
      <c r="G10" s="131"/>
      <c r="H10" s="131"/>
      <c r="I10" s="131"/>
      <c r="J10" s="131"/>
      <c r="K10" s="131"/>
      <c r="L10" s="131"/>
      <c r="M10" s="131"/>
      <c r="N10" s="131"/>
      <c r="O10" s="131"/>
      <c r="P10" s="131"/>
      <c r="Q10" s="131"/>
      <c r="R10" s="131"/>
      <c r="S10" s="131"/>
      <c r="T10" s="131"/>
      <c r="U10" s="131"/>
      <c r="V10" s="131"/>
      <c r="W10" s="131"/>
      <c r="X10" s="131"/>
      <c r="Y10" s="133"/>
      <c r="Z10" s="116"/>
    </row>
    <row r="11" spans="1:33" ht="18">
      <c r="A11" s="121"/>
      <c r="B11" s="132"/>
      <c r="C11" s="131"/>
      <c r="D11" s="131"/>
      <c r="E11" s="131"/>
      <c r="F11" s="131"/>
      <c r="G11" s="131"/>
      <c r="H11" s="131"/>
      <c r="I11" s="131"/>
      <c r="J11" s="131"/>
      <c r="K11" s="131"/>
      <c r="L11" s="131"/>
      <c r="M11" s="131"/>
      <c r="N11" s="131"/>
      <c r="O11" s="131"/>
      <c r="P11" s="131"/>
      <c r="Q11" s="131"/>
      <c r="R11" s="131"/>
      <c r="S11" s="131"/>
      <c r="T11" s="131"/>
      <c r="U11" s="131"/>
      <c r="V11" s="131"/>
      <c r="W11" s="131"/>
      <c r="X11" s="131"/>
      <c r="Y11" s="133"/>
      <c r="Z11" s="116"/>
    </row>
    <row r="12" spans="1:33" ht="19" thickBot="1">
      <c r="A12" s="121"/>
      <c r="B12" s="132"/>
      <c r="C12" s="131"/>
      <c r="D12" s="131"/>
      <c r="E12" s="131"/>
      <c r="F12" s="131"/>
      <c r="G12" s="131"/>
      <c r="H12" s="131"/>
      <c r="I12" s="131"/>
      <c r="J12" s="131"/>
      <c r="K12" s="131"/>
      <c r="L12" s="131"/>
      <c r="M12" s="131"/>
      <c r="N12" s="131"/>
      <c r="O12" s="131"/>
      <c r="P12" s="131"/>
      <c r="Q12" s="131"/>
      <c r="R12" s="131"/>
      <c r="S12" s="131"/>
      <c r="T12" s="131"/>
      <c r="U12" s="131"/>
      <c r="V12" s="131"/>
      <c r="W12" s="131"/>
      <c r="X12" s="131"/>
      <c r="Y12" s="133"/>
      <c r="Z12" s="116"/>
      <c r="AE12" t="s">
        <v>156</v>
      </c>
      <c r="AF12" t="s">
        <v>157</v>
      </c>
      <c r="AG12" t="s">
        <v>158</v>
      </c>
    </row>
    <row r="13" spans="1:33" ht="18">
      <c r="A13" s="121"/>
      <c r="B13" s="132"/>
      <c r="C13" s="131"/>
      <c r="D13" s="131"/>
      <c r="E13" s="131"/>
      <c r="F13" s="131"/>
      <c r="G13" s="131"/>
      <c r="H13" s="131"/>
      <c r="I13" s="131"/>
      <c r="J13" s="131"/>
      <c r="K13" s="131"/>
      <c r="L13" s="131"/>
      <c r="M13" s="131"/>
      <c r="N13" s="131"/>
      <c r="O13" s="131"/>
      <c r="P13" s="131"/>
      <c r="Q13" s="131"/>
      <c r="R13" s="131"/>
      <c r="S13" s="131"/>
      <c r="T13" s="131"/>
      <c r="U13" s="131"/>
      <c r="V13" s="131"/>
      <c r="W13" s="131"/>
      <c r="X13" s="131"/>
      <c r="Y13" s="133"/>
      <c r="Z13" s="116"/>
      <c r="AE13" s="118">
        <v>1</v>
      </c>
      <c r="AF13" s="119">
        <v>25</v>
      </c>
      <c r="AG13" s="120">
        <v>8</v>
      </c>
    </row>
    <row r="14" spans="1:33" ht="18">
      <c r="A14" s="121"/>
      <c r="B14" s="132"/>
      <c r="C14" s="131"/>
      <c r="D14" s="131"/>
      <c r="E14" s="131"/>
      <c r="F14" s="131"/>
      <c r="G14" s="131"/>
      <c r="H14" s="131"/>
      <c r="I14" s="131"/>
      <c r="J14" s="131"/>
      <c r="K14" s="131"/>
      <c r="L14" s="131"/>
      <c r="M14" s="131"/>
      <c r="N14" s="131"/>
      <c r="O14" s="131"/>
      <c r="P14" s="131"/>
      <c r="Q14" s="131"/>
      <c r="R14" s="131"/>
      <c r="S14" s="131"/>
      <c r="T14" s="131"/>
      <c r="U14" s="131"/>
      <c r="V14" s="131"/>
      <c r="W14" s="131"/>
      <c r="X14" s="131"/>
      <c r="Y14" s="133"/>
      <c r="Z14" s="116"/>
      <c r="AE14" s="140">
        <v>2</v>
      </c>
      <c r="AF14">
        <v>18</v>
      </c>
      <c r="AG14" s="123">
        <v>7</v>
      </c>
    </row>
    <row r="15" spans="1:33" ht="18">
      <c r="A15" s="121"/>
      <c r="B15" s="132"/>
      <c r="C15" s="131"/>
      <c r="D15" s="131"/>
      <c r="E15" s="131"/>
      <c r="F15" s="131"/>
      <c r="G15" s="131"/>
      <c r="H15" s="131"/>
      <c r="I15" s="131"/>
      <c r="J15" s="131"/>
      <c r="K15" s="131"/>
      <c r="L15" s="131"/>
      <c r="M15" s="131"/>
      <c r="N15" s="131"/>
      <c r="O15" s="131"/>
      <c r="P15" s="131"/>
      <c r="Q15" s="131"/>
      <c r="R15" s="131"/>
      <c r="S15" s="131"/>
      <c r="T15" s="131"/>
      <c r="U15" s="131"/>
      <c r="V15" s="131"/>
      <c r="W15" s="131"/>
      <c r="X15" s="131"/>
      <c r="Y15" s="133"/>
      <c r="Z15" s="116"/>
      <c r="AE15" s="140">
        <v>3</v>
      </c>
      <c r="AF15">
        <v>15</v>
      </c>
      <c r="AG15" s="123">
        <v>6</v>
      </c>
    </row>
    <row r="16" spans="1:33" ht="18">
      <c r="A16" s="121"/>
      <c r="B16" s="132"/>
      <c r="C16" s="131"/>
      <c r="D16" s="131"/>
      <c r="E16" s="131"/>
      <c r="F16" s="131"/>
      <c r="G16" s="131"/>
      <c r="H16" s="131"/>
      <c r="I16" s="131"/>
      <c r="J16" s="131"/>
      <c r="K16" s="131"/>
      <c r="L16" s="131"/>
      <c r="M16" s="131"/>
      <c r="N16" s="131"/>
      <c r="O16" s="131"/>
      <c r="P16" s="131"/>
      <c r="Q16" s="131"/>
      <c r="R16" s="131"/>
      <c r="S16" s="131"/>
      <c r="T16" s="131"/>
      <c r="U16" s="131"/>
      <c r="V16" s="131"/>
      <c r="W16" s="131"/>
      <c r="X16" s="131"/>
      <c r="Y16" s="133"/>
      <c r="Z16" s="116"/>
      <c r="AE16" s="140">
        <v>4</v>
      </c>
      <c r="AF16">
        <v>12</v>
      </c>
      <c r="AG16" s="123">
        <v>5</v>
      </c>
    </row>
    <row r="17" spans="1:33" ht="18">
      <c r="A17" s="121"/>
      <c r="B17" s="132"/>
      <c r="C17" s="131"/>
      <c r="D17" s="131"/>
      <c r="E17" s="131"/>
      <c r="F17" s="131"/>
      <c r="G17" s="131"/>
      <c r="H17" s="131"/>
      <c r="I17" s="131"/>
      <c r="J17" s="131"/>
      <c r="K17" s="131"/>
      <c r="L17" s="131"/>
      <c r="M17" s="131"/>
      <c r="N17" s="131"/>
      <c r="O17" s="131"/>
      <c r="P17" s="131"/>
      <c r="Q17" s="131"/>
      <c r="R17" s="131"/>
      <c r="S17" s="131"/>
      <c r="T17" s="131"/>
      <c r="U17" s="131"/>
      <c r="V17" s="131"/>
      <c r="W17" s="131"/>
      <c r="X17" s="131"/>
      <c r="Y17" s="133"/>
      <c r="Z17" s="116"/>
      <c r="AE17" s="140">
        <v>5</v>
      </c>
      <c r="AF17">
        <v>10</v>
      </c>
      <c r="AG17" s="123">
        <v>4</v>
      </c>
    </row>
    <row r="18" spans="1:33" ht="18">
      <c r="A18" s="121"/>
      <c r="B18" s="132"/>
      <c r="C18" s="131"/>
      <c r="D18" s="131"/>
      <c r="E18" s="131"/>
      <c r="F18" s="131"/>
      <c r="G18" s="131"/>
      <c r="H18" s="131"/>
      <c r="I18" s="131"/>
      <c r="J18" s="131"/>
      <c r="K18" s="131"/>
      <c r="L18" s="131"/>
      <c r="M18" s="131"/>
      <c r="N18" s="131"/>
      <c r="O18" s="131"/>
      <c r="P18" s="131"/>
      <c r="Q18" s="131"/>
      <c r="R18" s="131"/>
      <c r="S18" s="131"/>
      <c r="T18" s="131"/>
      <c r="U18" s="131"/>
      <c r="V18" s="131"/>
      <c r="W18" s="131"/>
      <c r="X18" s="131"/>
      <c r="Y18" s="133"/>
      <c r="Z18" s="116"/>
      <c r="AE18" s="140">
        <v>6</v>
      </c>
      <c r="AF18">
        <v>8</v>
      </c>
      <c r="AG18" s="123">
        <v>3</v>
      </c>
    </row>
    <row r="19" spans="1:33" ht="18">
      <c r="A19" s="121"/>
      <c r="B19" s="132"/>
      <c r="C19" s="131"/>
      <c r="D19" s="131"/>
      <c r="E19" s="131"/>
      <c r="F19" s="131"/>
      <c r="G19" s="131"/>
      <c r="H19" s="131"/>
      <c r="I19" s="131"/>
      <c r="J19" s="131"/>
      <c r="K19" s="131"/>
      <c r="L19" s="131"/>
      <c r="M19" s="131"/>
      <c r="N19" s="131"/>
      <c r="O19" s="131"/>
      <c r="P19" s="131"/>
      <c r="Q19" s="131"/>
      <c r="R19" s="131"/>
      <c r="S19" s="131"/>
      <c r="T19" s="131"/>
      <c r="U19" s="131"/>
      <c r="V19" s="131"/>
      <c r="W19" s="131"/>
      <c r="X19" s="131"/>
      <c r="Y19" s="133"/>
      <c r="Z19" s="116"/>
      <c r="AE19" s="140">
        <v>7</v>
      </c>
      <c r="AF19">
        <v>6</v>
      </c>
      <c r="AG19" s="123">
        <v>2</v>
      </c>
    </row>
    <row r="20" spans="1:33" ht="18">
      <c r="A20" s="121"/>
      <c r="B20" s="132"/>
      <c r="C20" s="131"/>
      <c r="D20" s="131"/>
      <c r="E20" s="131"/>
      <c r="F20" s="131"/>
      <c r="G20" s="131"/>
      <c r="H20" s="131"/>
      <c r="I20" s="131"/>
      <c r="J20" s="131"/>
      <c r="K20" s="131"/>
      <c r="L20" s="131"/>
      <c r="M20" s="131"/>
      <c r="N20" s="131"/>
      <c r="O20" s="131"/>
      <c r="P20" s="131"/>
      <c r="Q20" s="131"/>
      <c r="R20" s="131"/>
      <c r="S20" s="131"/>
      <c r="T20" s="131"/>
      <c r="U20" s="131"/>
      <c r="V20" s="131"/>
      <c r="W20" s="131"/>
      <c r="X20" s="131"/>
      <c r="Y20" s="133"/>
      <c r="Z20" s="116"/>
      <c r="AE20" s="140">
        <v>8</v>
      </c>
      <c r="AF20">
        <v>4</v>
      </c>
      <c r="AG20" s="123">
        <v>1</v>
      </c>
    </row>
    <row r="21" spans="1:33" ht="18">
      <c r="A21" s="121"/>
      <c r="B21" s="132"/>
      <c r="C21" s="131"/>
      <c r="D21" s="131"/>
      <c r="E21" s="131"/>
      <c r="F21" s="131"/>
      <c r="G21" s="131"/>
      <c r="H21" s="131"/>
      <c r="I21" s="131"/>
      <c r="J21" s="131"/>
      <c r="K21" s="131"/>
      <c r="L21" s="131"/>
      <c r="M21" s="131"/>
      <c r="N21" s="131"/>
      <c r="O21" s="131"/>
      <c r="P21" s="131"/>
      <c r="Q21" s="131"/>
      <c r="R21" s="131"/>
      <c r="S21" s="131"/>
      <c r="T21" s="131"/>
      <c r="U21" s="131"/>
      <c r="V21" s="131"/>
      <c r="W21" s="131"/>
      <c r="X21" s="131"/>
      <c r="Y21" s="133"/>
      <c r="Z21" s="116"/>
      <c r="AE21" s="140">
        <v>9</v>
      </c>
      <c r="AF21">
        <v>2</v>
      </c>
      <c r="AG21" s="123">
        <v>0</v>
      </c>
    </row>
    <row r="22" spans="1:33" ht="18">
      <c r="A22" s="121"/>
      <c r="B22" s="132"/>
      <c r="C22" s="131"/>
      <c r="D22" s="131"/>
      <c r="E22" s="131"/>
      <c r="F22" s="131"/>
      <c r="G22" s="131"/>
      <c r="H22" s="131"/>
      <c r="I22" s="131"/>
      <c r="J22" s="131"/>
      <c r="K22" s="131"/>
      <c r="L22" s="131"/>
      <c r="M22" s="131"/>
      <c r="N22" s="131"/>
      <c r="O22" s="131"/>
      <c r="P22" s="131"/>
      <c r="Q22" s="131"/>
      <c r="R22" s="131"/>
      <c r="S22" s="131"/>
      <c r="T22" s="131"/>
      <c r="U22" s="131"/>
      <c r="V22" s="131"/>
      <c r="W22" s="131"/>
      <c r="X22" s="131"/>
      <c r="Y22" s="133"/>
      <c r="Z22" s="116"/>
      <c r="AE22" s="140">
        <v>10</v>
      </c>
      <c r="AF22">
        <v>1</v>
      </c>
      <c r="AG22" s="123">
        <v>0</v>
      </c>
    </row>
    <row r="23" spans="1:33" ht="19" thickBot="1">
      <c r="A23" s="122"/>
      <c r="B23" s="134"/>
      <c r="C23" s="135"/>
      <c r="D23" s="135"/>
      <c r="E23" s="135"/>
      <c r="F23" s="135"/>
      <c r="G23" s="135"/>
      <c r="H23" s="135"/>
      <c r="I23" s="135"/>
      <c r="J23" s="135"/>
      <c r="K23" s="135"/>
      <c r="L23" s="135"/>
      <c r="M23" s="135"/>
      <c r="N23" s="135"/>
      <c r="O23" s="135"/>
      <c r="P23" s="135"/>
      <c r="Q23" s="135"/>
      <c r="R23" s="135"/>
      <c r="S23" s="135"/>
      <c r="T23" s="135"/>
      <c r="U23" s="135"/>
      <c r="V23" s="135"/>
      <c r="W23" s="135"/>
      <c r="X23" s="135"/>
      <c r="Y23" s="136"/>
      <c r="Z23" s="116"/>
      <c r="AE23" s="140">
        <v>11</v>
      </c>
      <c r="AF23">
        <v>0</v>
      </c>
      <c r="AG23" s="123">
        <v>0</v>
      </c>
    </row>
    <row r="24" spans="1:33">
      <c r="A24" s="7"/>
      <c r="AE24" s="140">
        <v>12</v>
      </c>
      <c r="AF24">
        <v>0</v>
      </c>
      <c r="AG24" s="123">
        <v>0</v>
      </c>
    </row>
    <row r="25" spans="1:33">
      <c r="A25" s="7"/>
      <c r="AE25" s="140">
        <v>13</v>
      </c>
      <c r="AF25">
        <v>0</v>
      </c>
      <c r="AG25" s="123">
        <v>0</v>
      </c>
    </row>
    <row r="26" spans="1:33" ht="17" thickBot="1">
      <c r="A26" s="7"/>
      <c r="AE26" s="140">
        <v>14</v>
      </c>
      <c r="AF26">
        <v>0</v>
      </c>
      <c r="AG26" s="123">
        <v>0</v>
      </c>
    </row>
    <row r="27" spans="1:33" ht="17" thickBot="1">
      <c r="A27" s="130" t="s">
        <v>155</v>
      </c>
      <c r="B27" s="125">
        <v>1</v>
      </c>
      <c r="C27" s="126">
        <v>2</v>
      </c>
      <c r="D27" s="126">
        <v>3</v>
      </c>
      <c r="E27" s="126">
        <v>4</v>
      </c>
      <c r="F27" s="126">
        <v>5</v>
      </c>
      <c r="G27" s="126">
        <v>6</v>
      </c>
      <c r="H27" s="126">
        <v>7</v>
      </c>
      <c r="I27" s="126">
        <v>8</v>
      </c>
      <c r="J27" s="126">
        <v>9</v>
      </c>
      <c r="K27" s="126">
        <v>10</v>
      </c>
      <c r="L27" s="126">
        <v>11</v>
      </c>
      <c r="M27" s="126">
        <v>12</v>
      </c>
      <c r="N27" s="126">
        <v>13</v>
      </c>
      <c r="O27" s="126">
        <v>14</v>
      </c>
      <c r="P27" s="126">
        <v>15</v>
      </c>
      <c r="Q27" s="126">
        <v>16</v>
      </c>
      <c r="R27" s="126">
        <v>17</v>
      </c>
      <c r="S27" s="126">
        <v>18</v>
      </c>
      <c r="T27" s="126">
        <v>19</v>
      </c>
      <c r="U27" s="126">
        <v>20</v>
      </c>
      <c r="V27" s="126">
        <v>21</v>
      </c>
      <c r="W27" s="126">
        <v>22</v>
      </c>
      <c r="X27" s="126">
        <v>23</v>
      </c>
      <c r="Y27" s="127">
        <v>24</v>
      </c>
      <c r="AE27" s="140">
        <v>15</v>
      </c>
      <c r="AF27">
        <v>0</v>
      </c>
      <c r="AG27" s="123">
        <v>0</v>
      </c>
    </row>
    <row r="28" spans="1:33" ht="18">
      <c r="A28" s="128" t="s">
        <v>133</v>
      </c>
      <c r="B28" s="143"/>
      <c r="C28" s="144"/>
      <c r="D28" s="144"/>
      <c r="E28" s="144"/>
      <c r="F28" s="144"/>
      <c r="G28" s="144"/>
      <c r="H28" s="144"/>
      <c r="I28" s="144"/>
      <c r="J28" s="144"/>
      <c r="K28" s="144"/>
      <c r="L28" s="144"/>
      <c r="M28" s="144"/>
      <c r="N28" s="144"/>
      <c r="O28" s="144"/>
      <c r="P28" s="144"/>
      <c r="Q28" s="144"/>
      <c r="R28" s="144"/>
      <c r="S28" s="144"/>
      <c r="T28" s="144"/>
      <c r="U28" s="144"/>
      <c r="V28" s="144"/>
      <c r="W28" s="144"/>
      <c r="X28" s="144"/>
      <c r="Y28" s="145"/>
      <c r="AE28" s="140">
        <v>16</v>
      </c>
      <c r="AF28">
        <v>0</v>
      </c>
      <c r="AG28" s="123">
        <v>0</v>
      </c>
    </row>
    <row r="29" spans="1:33" ht="18">
      <c r="A29" s="128"/>
      <c r="B29" s="143"/>
      <c r="C29" s="144"/>
      <c r="D29" s="144"/>
      <c r="E29" s="144"/>
      <c r="F29" s="144"/>
      <c r="G29" s="144"/>
      <c r="H29" s="144"/>
      <c r="I29" s="144"/>
      <c r="J29" s="144"/>
      <c r="K29" s="144"/>
      <c r="L29" s="144"/>
      <c r="M29" s="144"/>
      <c r="N29" s="144"/>
      <c r="O29" s="144"/>
      <c r="P29" s="144"/>
      <c r="Q29" s="144"/>
      <c r="R29" s="144"/>
      <c r="S29" s="144"/>
      <c r="T29" s="144"/>
      <c r="U29" s="144"/>
      <c r="V29" s="144"/>
      <c r="W29" s="144"/>
      <c r="X29" s="144"/>
      <c r="Y29" s="145"/>
      <c r="AE29" s="140">
        <v>17</v>
      </c>
      <c r="AF29">
        <v>0</v>
      </c>
      <c r="AG29" s="123">
        <v>0</v>
      </c>
    </row>
    <row r="30" spans="1:33" ht="18">
      <c r="A30" s="128"/>
      <c r="B30" s="143"/>
      <c r="C30" s="144"/>
      <c r="D30" s="144"/>
      <c r="E30" s="144"/>
      <c r="F30" s="144"/>
      <c r="G30" s="144"/>
      <c r="H30" s="144"/>
      <c r="I30" s="144"/>
      <c r="J30" s="144"/>
      <c r="K30" s="144"/>
      <c r="L30" s="144"/>
      <c r="M30" s="144"/>
      <c r="N30" s="144"/>
      <c r="O30" s="144"/>
      <c r="P30" s="144"/>
      <c r="Q30" s="144"/>
      <c r="R30" s="144"/>
      <c r="S30" s="144"/>
      <c r="T30" s="144"/>
      <c r="U30" s="144"/>
      <c r="V30" s="144"/>
      <c r="W30" s="144"/>
      <c r="X30" s="144"/>
      <c r="Y30" s="145"/>
      <c r="AE30" s="140">
        <v>18</v>
      </c>
      <c r="AF30">
        <v>0</v>
      </c>
      <c r="AG30" s="123">
        <v>0</v>
      </c>
    </row>
    <row r="31" spans="1:33" ht="18">
      <c r="A31" s="128"/>
      <c r="B31" s="143"/>
      <c r="C31" s="144"/>
      <c r="D31" s="144"/>
      <c r="E31" s="144"/>
      <c r="F31" s="144"/>
      <c r="G31" s="144"/>
      <c r="H31" s="144"/>
      <c r="I31" s="144"/>
      <c r="J31" s="144"/>
      <c r="K31" s="144"/>
      <c r="L31" s="144"/>
      <c r="M31" s="144"/>
      <c r="N31" s="144"/>
      <c r="O31" s="144"/>
      <c r="P31" s="144"/>
      <c r="Q31" s="144"/>
      <c r="R31" s="144"/>
      <c r="S31" s="144"/>
      <c r="T31" s="144"/>
      <c r="U31" s="144"/>
      <c r="V31" s="144"/>
      <c r="W31" s="144"/>
      <c r="X31" s="144"/>
      <c r="Y31" s="145"/>
      <c r="AE31" s="140">
        <v>19</v>
      </c>
      <c r="AF31">
        <v>0</v>
      </c>
      <c r="AG31" s="123">
        <v>0</v>
      </c>
    </row>
    <row r="32" spans="1:33" ht="18">
      <c r="A32" s="128"/>
      <c r="B32" s="143"/>
      <c r="C32" s="144"/>
      <c r="D32" s="144"/>
      <c r="E32" s="144"/>
      <c r="F32" s="144"/>
      <c r="G32" s="144"/>
      <c r="H32" s="144"/>
      <c r="I32" s="144"/>
      <c r="J32" s="144"/>
      <c r="K32" s="144"/>
      <c r="L32" s="144"/>
      <c r="M32" s="144"/>
      <c r="N32" s="144"/>
      <c r="O32" s="144"/>
      <c r="P32" s="144"/>
      <c r="Q32" s="144"/>
      <c r="R32" s="144"/>
      <c r="S32" s="144"/>
      <c r="T32" s="144"/>
      <c r="U32" s="144"/>
      <c r="V32" s="144"/>
      <c r="W32" s="144"/>
      <c r="X32" s="144"/>
      <c r="Y32" s="145"/>
      <c r="AE32" s="140">
        <v>20</v>
      </c>
      <c r="AF32">
        <v>0</v>
      </c>
      <c r="AG32" s="123">
        <v>0</v>
      </c>
    </row>
    <row r="33" spans="1:33" ht="19" thickBot="1">
      <c r="A33" s="128"/>
      <c r="B33" s="143"/>
      <c r="C33" s="144"/>
      <c r="D33" s="144"/>
      <c r="E33" s="144"/>
      <c r="F33" s="144"/>
      <c r="G33" s="144"/>
      <c r="H33" s="144"/>
      <c r="I33" s="144"/>
      <c r="J33" s="144"/>
      <c r="K33" s="144"/>
      <c r="L33" s="144"/>
      <c r="M33" s="144"/>
      <c r="N33" s="144"/>
      <c r="O33" s="144"/>
      <c r="P33" s="144"/>
      <c r="Q33" s="144"/>
      <c r="R33" s="144"/>
      <c r="S33" s="144"/>
      <c r="T33" s="144"/>
      <c r="U33" s="144"/>
      <c r="V33" s="144"/>
      <c r="W33" s="144"/>
      <c r="X33" s="144"/>
      <c r="Y33" s="145"/>
      <c r="AE33" s="141" t="s">
        <v>159</v>
      </c>
      <c r="AF33" s="142">
        <v>0</v>
      </c>
      <c r="AG33" s="124">
        <v>0</v>
      </c>
    </row>
    <row r="34" spans="1:33" ht="18">
      <c r="A34" s="128"/>
      <c r="B34" s="143"/>
      <c r="C34" s="144"/>
      <c r="D34" s="144"/>
      <c r="E34" s="144"/>
      <c r="F34" s="144"/>
      <c r="G34" s="144"/>
      <c r="H34" s="144"/>
      <c r="I34" s="144"/>
      <c r="J34" s="144"/>
      <c r="K34" s="144"/>
      <c r="L34" s="144"/>
      <c r="M34" s="144"/>
      <c r="N34" s="144"/>
      <c r="O34" s="144"/>
      <c r="P34" s="144"/>
      <c r="Q34" s="144"/>
      <c r="R34" s="144"/>
      <c r="S34" s="144"/>
      <c r="T34" s="144"/>
      <c r="U34" s="144"/>
      <c r="V34" s="144"/>
      <c r="W34" s="144"/>
      <c r="X34" s="144"/>
      <c r="Y34" s="145"/>
    </row>
    <row r="35" spans="1:33" ht="18">
      <c r="A35" s="128"/>
      <c r="B35" s="143"/>
      <c r="C35" s="144"/>
      <c r="D35" s="144"/>
      <c r="E35" s="144"/>
      <c r="F35" s="144"/>
      <c r="G35" s="144"/>
      <c r="H35" s="144"/>
      <c r="I35" s="144"/>
      <c r="J35" s="144"/>
      <c r="K35" s="144"/>
      <c r="L35" s="144"/>
      <c r="M35" s="144"/>
      <c r="N35" s="144"/>
      <c r="O35" s="144"/>
      <c r="P35" s="144"/>
      <c r="Q35" s="144"/>
      <c r="R35" s="144"/>
      <c r="S35" s="144"/>
      <c r="T35" s="144"/>
      <c r="U35" s="144"/>
      <c r="V35" s="144"/>
      <c r="W35" s="144"/>
      <c r="X35" s="144"/>
      <c r="Y35" s="145"/>
    </row>
    <row r="36" spans="1:33" ht="18">
      <c r="A36" s="128"/>
      <c r="B36" s="143"/>
      <c r="C36" s="144"/>
      <c r="D36" s="144"/>
      <c r="E36" s="144"/>
      <c r="F36" s="144"/>
      <c r="G36" s="144"/>
      <c r="H36" s="144"/>
      <c r="I36" s="144"/>
      <c r="J36" s="144"/>
      <c r="K36" s="144"/>
      <c r="L36" s="144"/>
      <c r="M36" s="144"/>
      <c r="N36" s="144"/>
      <c r="O36" s="144"/>
      <c r="P36" s="144"/>
      <c r="Q36" s="144"/>
      <c r="R36" s="144"/>
      <c r="S36" s="144"/>
      <c r="T36" s="144"/>
      <c r="U36" s="144"/>
      <c r="V36" s="144"/>
      <c r="W36" s="144"/>
      <c r="X36" s="144"/>
      <c r="Y36" s="145"/>
    </row>
    <row r="37" spans="1:33" ht="18">
      <c r="A37" s="128"/>
      <c r="B37" s="143"/>
      <c r="C37" s="144"/>
      <c r="D37" s="144"/>
      <c r="E37" s="144"/>
      <c r="F37" s="144"/>
      <c r="G37" s="144"/>
      <c r="H37" s="144"/>
      <c r="I37" s="144"/>
      <c r="J37" s="144"/>
      <c r="K37" s="144"/>
      <c r="L37" s="144"/>
      <c r="M37" s="144"/>
      <c r="N37" s="144"/>
      <c r="O37" s="144"/>
      <c r="P37" s="144"/>
      <c r="Q37" s="144"/>
      <c r="R37" s="144"/>
      <c r="S37" s="144"/>
      <c r="T37" s="144"/>
      <c r="U37" s="144"/>
      <c r="V37" s="144"/>
      <c r="W37" s="144"/>
      <c r="X37" s="144"/>
      <c r="Y37" s="145"/>
    </row>
    <row r="38" spans="1:33" ht="18">
      <c r="A38" s="128"/>
      <c r="B38" s="143"/>
      <c r="C38" s="144"/>
      <c r="D38" s="144"/>
      <c r="E38" s="144"/>
      <c r="F38" s="144"/>
      <c r="G38" s="144"/>
      <c r="H38" s="144"/>
      <c r="I38" s="144"/>
      <c r="J38" s="144"/>
      <c r="K38" s="144"/>
      <c r="L38" s="144"/>
      <c r="M38" s="144"/>
      <c r="N38" s="144"/>
      <c r="O38" s="144"/>
      <c r="P38" s="144"/>
      <c r="Q38" s="144"/>
      <c r="R38" s="144"/>
      <c r="S38" s="144"/>
      <c r="T38" s="144"/>
      <c r="U38" s="144"/>
      <c r="V38" s="144"/>
      <c r="W38" s="144"/>
      <c r="X38" s="144"/>
      <c r="Y38" s="145"/>
    </row>
    <row r="39" spans="1:33" ht="18">
      <c r="A39" s="128"/>
      <c r="B39" s="143"/>
      <c r="C39" s="144"/>
      <c r="D39" s="144"/>
      <c r="E39" s="144"/>
      <c r="F39" s="144"/>
      <c r="G39" s="144"/>
      <c r="H39" s="144"/>
      <c r="I39" s="144"/>
      <c r="J39" s="144"/>
      <c r="K39" s="144"/>
      <c r="L39" s="144"/>
      <c r="M39" s="144"/>
      <c r="N39" s="144"/>
      <c r="O39" s="144"/>
      <c r="P39" s="144"/>
      <c r="Q39" s="144"/>
      <c r="R39" s="144"/>
      <c r="S39" s="144"/>
      <c r="T39" s="144"/>
      <c r="U39" s="144"/>
      <c r="V39" s="144"/>
      <c r="W39" s="144"/>
      <c r="X39" s="144"/>
      <c r="Y39" s="145"/>
    </row>
    <row r="40" spans="1:33" ht="18">
      <c r="A40" s="128"/>
      <c r="B40" s="143"/>
      <c r="C40" s="144"/>
      <c r="D40" s="144"/>
      <c r="E40" s="144"/>
      <c r="F40" s="144"/>
      <c r="G40" s="144"/>
      <c r="H40" s="144"/>
      <c r="I40" s="144"/>
      <c r="J40" s="144"/>
      <c r="K40" s="144"/>
      <c r="L40" s="144"/>
      <c r="M40" s="144"/>
      <c r="N40" s="144"/>
      <c r="O40" s="144"/>
      <c r="P40" s="144"/>
      <c r="Q40" s="144"/>
      <c r="R40" s="144"/>
      <c r="S40" s="144"/>
      <c r="T40" s="144"/>
      <c r="U40" s="144"/>
      <c r="V40" s="144"/>
      <c r="W40" s="144"/>
      <c r="X40" s="144"/>
      <c r="Y40" s="145"/>
    </row>
    <row r="41" spans="1:33" ht="18">
      <c r="A41" s="128"/>
      <c r="B41" s="143"/>
      <c r="C41" s="144"/>
      <c r="D41" s="144"/>
      <c r="E41" s="144"/>
      <c r="F41" s="144"/>
      <c r="G41" s="144"/>
      <c r="H41" s="144"/>
      <c r="I41" s="144"/>
      <c r="J41" s="144"/>
      <c r="K41" s="144"/>
      <c r="L41" s="144"/>
      <c r="M41" s="144"/>
      <c r="N41" s="144"/>
      <c r="O41" s="144"/>
      <c r="P41" s="144"/>
      <c r="Q41" s="144"/>
      <c r="R41" s="144"/>
      <c r="S41" s="144"/>
      <c r="T41" s="144"/>
      <c r="U41" s="144"/>
      <c r="V41" s="144"/>
      <c r="W41" s="144"/>
      <c r="X41" s="144"/>
      <c r="Y41" s="145"/>
    </row>
    <row r="42" spans="1:33" ht="18">
      <c r="A42" s="128"/>
      <c r="B42" s="143"/>
      <c r="C42" s="144"/>
      <c r="D42" s="144"/>
      <c r="E42" s="144"/>
      <c r="F42" s="144"/>
      <c r="G42" s="144"/>
      <c r="H42" s="144"/>
      <c r="I42" s="144"/>
      <c r="J42" s="144"/>
      <c r="K42" s="144"/>
      <c r="L42" s="144"/>
      <c r="M42" s="144"/>
      <c r="N42" s="144"/>
      <c r="O42" s="144"/>
      <c r="P42" s="144"/>
      <c r="Q42" s="144"/>
      <c r="R42" s="144"/>
      <c r="S42" s="144"/>
      <c r="T42" s="144"/>
      <c r="U42" s="144"/>
      <c r="V42" s="144"/>
      <c r="W42" s="144"/>
      <c r="X42" s="144"/>
      <c r="Y42" s="145"/>
    </row>
    <row r="43" spans="1:33" ht="18">
      <c r="A43" s="128"/>
      <c r="B43" s="143"/>
      <c r="C43" s="144"/>
      <c r="D43" s="144"/>
      <c r="E43" s="144"/>
      <c r="F43" s="144"/>
      <c r="G43" s="144"/>
      <c r="H43" s="144"/>
      <c r="I43" s="144"/>
      <c r="J43" s="144"/>
      <c r="K43" s="144"/>
      <c r="L43" s="144"/>
      <c r="M43" s="144"/>
      <c r="N43" s="144"/>
      <c r="O43" s="144"/>
      <c r="P43" s="144"/>
      <c r="Q43" s="144"/>
      <c r="R43" s="144"/>
      <c r="S43" s="144"/>
      <c r="T43" s="144"/>
      <c r="U43" s="144"/>
      <c r="V43" s="144"/>
      <c r="W43" s="144"/>
      <c r="X43" s="144"/>
      <c r="Y43" s="145"/>
    </row>
    <row r="44" spans="1:33" ht="18">
      <c r="A44" s="128"/>
      <c r="B44" s="143"/>
      <c r="C44" s="144"/>
      <c r="D44" s="144"/>
      <c r="E44" s="144"/>
      <c r="F44" s="144"/>
      <c r="G44" s="144"/>
      <c r="H44" s="144"/>
      <c r="I44" s="144"/>
      <c r="J44" s="144"/>
      <c r="K44" s="144"/>
      <c r="L44" s="144"/>
      <c r="M44" s="144"/>
      <c r="N44" s="144"/>
      <c r="O44" s="144"/>
      <c r="P44" s="144"/>
      <c r="Q44" s="144"/>
      <c r="R44" s="144"/>
      <c r="S44" s="144"/>
      <c r="T44" s="144"/>
      <c r="U44" s="144"/>
      <c r="V44" s="144"/>
      <c r="W44" s="144"/>
      <c r="X44" s="144"/>
      <c r="Y44" s="145"/>
    </row>
    <row r="45" spans="1:33" ht="18">
      <c r="A45" s="128"/>
      <c r="B45" s="143"/>
      <c r="C45" s="144"/>
      <c r="D45" s="144"/>
      <c r="E45" s="144"/>
      <c r="F45" s="144"/>
      <c r="G45" s="144"/>
      <c r="H45" s="144"/>
      <c r="I45" s="144"/>
      <c r="J45" s="144"/>
      <c r="K45" s="144"/>
      <c r="L45" s="144"/>
      <c r="M45" s="144"/>
      <c r="N45" s="144"/>
      <c r="O45" s="144"/>
      <c r="P45" s="144"/>
      <c r="Q45" s="144"/>
      <c r="R45" s="144"/>
      <c r="S45" s="144"/>
      <c r="T45" s="144"/>
      <c r="U45" s="144"/>
      <c r="V45" s="144"/>
      <c r="W45" s="144"/>
      <c r="X45" s="144"/>
      <c r="Y45" s="145"/>
    </row>
    <row r="46" spans="1:33" ht="18">
      <c r="A46" s="128"/>
      <c r="B46" s="143"/>
      <c r="C46" s="144"/>
      <c r="D46" s="144"/>
      <c r="E46" s="144"/>
      <c r="F46" s="144"/>
      <c r="G46" s="144"/>
      <c r="H46" s="144"/>
      <c r="I46" s="144"/>
      <c r="J46" s="144"/>
      <c r="K46" s="144"/>
      <c r="L46" s="144"/>
      <c r="M46" s="144"/>
      <c r="N46" s="144"/>
      <c r="O46" s="144"/>
      <c r="P46" s="144"/>
      <c r="Q46" s="144"/>
      <c r="R46" s="144"/>
      <c r="S46" s="144"/>
      <c r="T46" s="144"/>
      <c r="U46" s="144"/>
      <c r="V46" s="144"/>
      <c r="W46" s="144"/>
      <c r="X46" s="144"/>
      <c r="Y46" s="145"/>
    </row>
    <row r="47" spans="1:33" ht="18">
      <c r="A47" s="128"/>
      <c r="B47" s="143"/>
      <c r="C47" s="144"/>
      <c r="D47" s="144"/>
      <c r="E47" s="144"/>
      <c r="F47" s="144"/>
      <c r="G47" s="144"/>
      <c r="H47" s="144"/>
      <c r="I47" s="144"/>
      <c r="J47" s="144"/>
      <c r="K47" s="144"/>
      <c r="L47" s="144"/>
      <c r="M47" s="144"/>
      <c r="N47" s="144"/>
      <c r="O47" s="144"/>
      <c r="P47" s="144"/>
      <c r="Q47" s="144"/>
      <c r="R47" s="144"/>
      <c r="S47" s="144"/>
      <c r="T47" s="144"/>
      <c r="U47" s="144"/>
      <c r="V47" s="144"/>
      <c r="W47" s="144"/>
      <c r="X47" s="144"/>
      <c r="Y47" s="145"/>
    </row>
    <row r="48" spans="1:33" ht="19" thickBot="1">
      <c r="A48" s="129"/>
      <c r="B48" s="146"/>
      <c r="C48" s="147"/>
      <c r="D48" s="147"/>
      <c r="E48" s="147"/>
      <c r="F48" s="147"/>
      <c r="G48" s="147"/>
      <c r="H48" s="147"/>
      <c r="I48" s="147"/>
      <c r="J48" s="147"/>
      <c r="K48" s="147"/>
      <c r="L48" s="147"/>
      <c r="M48" s="147"/>
      <c r="N48" s="147"/>
      <c r="O48" s="147"/>
      <c r="P48" s="147"/>
      <c r="Q48" s="147"/>
      <c r="R48" s="147"/>
      <c r="S48" s="147"/>
      <c r="T48" s="147"/>
      <c r="U48" s="147"/>
      <c r="V48" s="147"/>
      <c r="W48" s="147"/>
      <c r="X48" s="147"/>
      <c r="Y48" s="148"/>
    </row>
    <row r="49" spans="1:28">
      <c r="A49" s="7"/>
    </row>
    <row r="50" spans="1:28">
      <c r="A50" s="7"/>
      <c r="B50" s="144"/>
      <c r="C50" s="144"/>
    </row>
    <row r="51" spans="1:28">
      <c r="A51" s="7"/>
    </row>
    <row r="52" spans="1:28">
      <c r="A52" s="7"/>
    </row>
    <row r="53" spans="1:28">
      <c r="A53" s="7"/>
    </row>
    <row r="54" spans="1:28">
      <c r="A54" s="7"/>
    </row>
    <row r="55" spans="1:28">
      <c r="A55" s="7"/>
    </row>
    <row r="56" spans="1:28" ht="18">
      <c r="A56" s="7"/>
      <c r="Y56" s="117"/>
    </row>
    <row r="57" spans="1:28" ht="18">
      <c r="A57" s="7"/>
      <c r="Y57" s="117"/>
    </row>
    <row r="58" spans="1:28" ht="18">
      <c r="A58" s="7"/>
      <c r="Y58" s="117"/>
    </row>
    <row r="59" spans="1:28" ht="16" customHeight="1">
      <c r="A59" s="7" t="s">
        <v>155</v>
      </c>
      <c r="B59">
        <v>1</v>
      </c>
      <c r="C59">
        <v>2</v>
      </c>
      <c r="D59">
        <v>3</v>
      </c>
      <c r="E59">
        <v>4</v>
      </c>
      <c r="F59">
        <v>5</v>
      </c>
      <c r="G59">
        <v>6</v>
      </c>
      <c r="H59">
        <v>7</v>
      </c>
      <c r="I59">
        <v>8</v>
      </c>
      <c r="J59">
        <v>9</v>
      </c>
      <c r="K59">
        <v>10</v>
      </c>
      <c r="L59">
        <v>11</v>
      </c>
      <c r="M59">
        <v>12</v>
      </c>
      <c r="N59">
        <v>13</v>
      </c>
      <c r="O59">
        <v>14</v>
      </c>
      <c r="P59">
        <v>15</v>
      </c>
      <c r="Q59">
        <v>16</v>
      </c>
      <c r="R59">
        <v>17</v>
      </c>
      <c r="S59">
        <v>18</v>
      </c>
      <c r="T59">
        <v>19</v>
      </c>
      <c r="U59">
        <v>20</v>
      </c>
      <c r="V59">
        <v>21</v>
      </c>
      <c r="W59">
        <v>22</v>
      </c>
      <c r="X59">
        <v>23</v>
      </c>
      <c r="Y59" s="117">
        <v>24</v>
      </c>
      <c r="Z59" t="s">
        <v>132</v>
      </c>
      <c r="AA59" t="s">
        <v>162</v>
      </c>
      <c r="AB59" t="s">
        <v>163</v>
      </c>
    </row>
    <row r="60" spans="1:28" ht="16" customHeight="1">
      <c r="A60" s="117" t="s">
        <v>133</v>
      </c>
      <c r="B60" t="e">
        <f>_xlfn.LET(
    _xlpm.race_pos, VLOOKUP($A60, $A$2:$Y$23, (B$59 + 1), FALSE),
    _xlpm.sprint_pos, VLOOKUP($A60, $A$27:$Y$48, (B$59 + 1), FALSE),
    _xlpm.race_pts, VLOOKUP(_xlpm.race_pos, $AE$12:$AG$33, 2, TRUE),
    _xlpm.sprint_pts, VLOOKUP(_xlpm.sprint_pos, $AE$12:$AG$33, 3, TRUE),
    _xlpm.race_pts + _xlpm.sprint_pts
)</f>
        <v>#N/A</v>
      </c>
      <c r="C60" t="e">
        <f t="shared" ref="C60:Y60" si="0">_xlfn.LET(
    _xlpm.race_pos, VLOOKUP($A$60, $A$2:$Y$23, (C$59 + 1), FALSE),
    _xlpm.sprint_pos, VLOOKUP($A$60, $A$27:$Y$48, (C$59 + 1), FALSE),
    _xlpm.race_pts, VLOOKUP(_xlpm.race_pos, $AE$12:$AG$33, 2, TRUE),
    _xlpm.sprint_pts, VLOOKUP(_xlpm.sprint_pos, $AE$12:$AG$33, 3, TRUE),
    _xlpm.race_pts + _xlpm.sprint_pts
)</f>
        <v>#N/A</v>
      </c>
      <c r="D60" t="e">
        <f t="shared" si="0"/>
        <v>#N/A</v>
      </c>
      <c r="E60" t="e">
        <f t="shared" si="0"/>
        <v>#N/A</v>
      </c>
      <c r="F60" t="e">
        <f t="shared" si="0"/>
        <v>#N/A</v>
      </c>
      <c r="G60" t="e">
        <f t="shared" si="0"/>
        <v>#N/A</v>
      </c>
      <c r="H60" t="e">
        <f t="shared" si="0"/>
        <v>#N/A</v>
      </c>
      <c r="I60" t="e">
        <f t="shared" si="0"/>
        <v>#N/A</v>
      </c>
      <c r="J60" t="e">
        <f t="shared" si="0"/>
        <v>#N/A</v>
      </c>
      <c r="K60" t="e">
        <f t="shared" si="0"/>
        <v>#N/A</v>
      </c>
      <c r="L60" t="e">
        <f t="shared" si="0"/>
        <v>#N/A</v>
      </c>
      <c r="M60" t="e">
        <f t="shared" si="0"/>
        <v>#N/A</v>
      </c>
      <c r="N60" t="e">
        <f t="shared" si="0"/>
        <v>#N/A</v>
      </c>
      <c r="O60" t="e">
        <f t="shared" si="0"/>
        <v>#N/A</v>
      </c>
      <c r="P60" t="e">
        <f t="shared" si="0"/>
        <v>#N/A</v>
      </c>
      <c r="Q60" t="e">
        <f t="shared" si="0"/>
        <v>#N/A</v>
      </c>
      <c r="R60" t="e">
        <f t="shared" si="0"/>
        <v>#N/A</v>
      </c>
      <c r="S60" t="e">
        <f t="shared" si="0"/>
        <v>#N/A</v>
      </c>
      <c r="T60" t="e">
        <f t="shared" si="0"/>
        <v>#N/A</v>
      </c>
      <c r="U60" t="e">
        <f t="shared" si="0"/>
        <v>#N/A</v>
      </c>
      <c r="V60" t="e">
        <f t="shared" si="0"/>
        <v>#N/A</v>
      </c>
      <c r="W60" t="e">
        <f t="shared" si="0"/>
        <v>#N/A</v>
      </c>
      <c r="X60" t="e">
        <f t="shared" si="0"/>
        <v>#N/A</v>
      </c>
      <c r="Y60" t="e">
        <f t="shared" si="0"/>
        <v>#N/A</v>
      </c>
      <c r="Z60" t="e">
        <f>SUM(B60:Y60)</f>
        <v>#N/A</v>
      </c>
      <c r="AA60" s="116">
        <v>423</v>
      </c>
      <c r="AB60" t="e">
        <f>Z60-AA60</f>
        <v>#N/A</v>
      </c>
    </row>
    <row r="61" spans="1:28" ht="18">
      <c r="A61" s="117" t="s">
        <v>134</v>
      </c>
      <c r="B61" t="e">
        <f t="shared" ref="B61:Q76" si="1">_xlfn.LET(
    _xlpm.race_pos, VLOOKUP($A61, $A$2:$Y$23, (B$59 + 1), FALSE),
    _xlpm.sprint_pos, VLOOKUP($A61, $A$27:$Y$48, (B$59 + 1), FALSE),
    _xlpm.race_pts, VLOOKUP(_xlpm.race_pos, $AE$12:$AG$33, 2, TRUE),
    _xlpm.sprint_pts, VLOOKUP(_xlpm.sprint_pos, $AE$12:$AG$33, 3, TRUE),
    _xlpm.race_pts + _xlpm.sprint_pts
)</f>
        <v>#N/A</v>
      </c>
      <c r="C61" t="e">
        <f t="shared" si="1"/>
        <v>#N/A</v>
      </c>
      <c r="D61" t="e">
        <f t="shared" si="1"/>
        <v>#N/A</v>
      </c>
      <c r="E61" t="e">
        <f t="shared" si="1"/>
        <v>#N/A</v>
      </c>
      <c r="F61" t="e">
        <f t="shared" si="1"/>
        <v>#N/A</v>
      </c>
      <c r="G61" t="e">
        <f t="shared" si="1"/>
        <v>#N/A</v>
      </c>
      <c r="H61" t="e">
        <f t="shared" si="1"/>
        <v>#N/A</v>
      </c>
      <c r="I61" t="e">
        <f t="shared" si="1"/>
        <v>#N/A</v>
      </c>
      <c r="J61" t="e">
        <f t="shared" si="1"/>
        <v>#N/A</v>
      </c>
      <c r="K61" t="e">
        <f t="shared" si="1"/>
        <v>#N/A</v>
      </c>
      <c r="L61" t="e">
        <f t="shared" si="1"/>
        <v>#N/A</v>
      </c>
      <c r="M61" t="e">
        <f t="shared" si="1"/>
        <v>#N/A</v>
      </c>
      <c r="N61" t="e">
        <f t="shared" si="1"/>
        <v>#N/A</v>
      </c>
      <c r="O61" t="e">
        <f t="shared" si="1"/>
        <v>#N/A</v>
      </c>
      <c r="P61" t="e">
        <f t="shared" si="1"/>
        <v>#N/A</v>
      </c>
      <c r="Q61" t="e">
        <f t="shared" si="1"/>
        <v>#N/A</v>
      </c>
      <c r="R61" t="e">
        <f t="shared" ref="R61:Y75" si="2">_xlfn.LET(
    _xlpm.race_pos, VLOOKUP($A61, $A$2:$Y$23, (R$59 + 1), FALSE),
    _xlpm.sprint_pos, VLOOKUP($A61, $A$27:$Y$48, (R$59 + 1), FALSE),
    _xlpm.race_pts, VLOOKUP(_xlpm.race_pos, $AE$12:$AG$33, 2, TRUE),
    _xlpm.sprint_pts, VLOOKUP(_xlpm.sprint_pos, $AE$12:$AG$33, 3, TRUE),
    _xlpm.race_pts + _xlpm.sprint_pts
)</f>
        <v>#N/A</v>
      </c>
      <c r="S61" t="e">
        <f t="shared" si="2"/>
        <v>#N/A</v>
      </c>
      <c r="T61" t="e">
        <f t="shared" si="2"/>
        <v>#N/A</v>
      </c>
      <c r="U61" t="e">
        <f t="shared" si="2"/>
        <v>#N/A</v>
      </c>
      <c r="V61" t="e">
        <f t="shared" si="2"/>
        <v>#N/A</v>
      </c>
      <c r="W61" t="e">
        <f t="shared" si="2"/>
        <v>#N/A</v>
      </c>
      <c r="X61" t="e">
        <f t="shared" si="2"/>
        <v>#N/A</v>
      </c>
      <c r="Y61" t="e">
        <f t="shared" si="2"/>
        <v>#N/A</v>
      </c>
      <c r="Z61" t="e">
        <f t="shared" ref="Z61:Z81" si="3">SUM(B61:Y61)</f>
        <v>#N/A</v>
      </c>
      <c r="AA61" s="116">
        <v>421</v>
      </c>
      <c r="AB61" t="e">
        <f t="shared" ref="AB61:AB81" si="4">Z61-AA61</f>
        <v>#N/A</v>
      </c>
    </row>
    <row r="62" spans="1:28" ht="18">
      <c r="A62" s="117" t="s">
        <v>135</v>
      </c>
      <c r="B62" t="e">
        <f t="shared" si="1"/>
        <v>#N/A</v>
      </c>
      <c r="C62" t="e">
        <f t="shared" si="1"/>
        <v>#N/A</v>
      </c>
      <c r="D62" t="e">
        <f t="shared" si="1"/>
        <v>#N/A</v>
      </c>
      <c r="E62" t="e">
        <f t="shared" si="1"/>
        <v>#N/A</v>
      </c>
      <c r="F62" t="e">
        <f t="shared" si="1"/>
        <v>#N/A</v>
      </c>
      <c r="G62" t="e">
        <f t="shared" si="1"/>
        <v>#N/A</v>
      </c>
      <c r="H62" t="e">
        <f t="shared" si="1"/>
        <v>#N/A</v>
      </c>
      <c r="I62" t="e">
        <f t="shared" si="1"/>
        <v>#N/A</v>
      </c>
      <c r="J62" t="e">
        <f t="shared" si="1"/>
        <v>#N/A</v>
      </c>
      <c r="K62" t="e">
        <f t="shared" si="1"/>
        <v>#N/A</v>
      </c>
      <c r="L62" t="e">
        <f t="shared" si="1"/>
        <v>#N/A</v>
      </c>
      <c r="M62" t="e">
        <f t="shared" si="1"/>
        <v>#N/A</v>
      </c>
      <c r="N62" t="e">
        <f t="shared" si="1"/>
        <v>#N/A</v>
      </c>
      <c r="O62" t="e">
        <f t="shared" si="1"/>
        <v>#N/A</v>
      </c>
      <c r="P62" t="e">
        <f t="shared" si="1"/>
        <v>#N/A</v>
      </c>
      <c r="Q62" t="e">
        <f t="shared" si="1"/>
        <v>#N/A</v>
      </c>
      <c r="R62" t="e">
        <f t="shared" si="2"/>
        <v>#N/A</v>
      </c>
      <c r="S62" t="e">
        <f t="shared" si="2"/>
        <v>#N/A</v>
      </c>
      <c r="T62" t="e">
        <f t="shared" si="2"/>
        <v>#N/A</v>
      </c>
      <c r="U62" t="e">
        <f t="shared" si="2"/>
        <v>#N/A</v>
      </c>
      <c r="V62" t="e">
        <f t="shared" si="2"/>
        <v>#N/A</v>
      </c>
      <c r="W62" t="e">
        <f t="shared" si="2"/>
        <v>#N/A</v>
      </c>
      <c r="X62" t="e">
        <f t="shared" si="2"/>
        <v>#N/A</v>
      </c>
      <c r="Y62" t="e">
        <f t="shared" si="2"/>
        <v>#N/A</v>
      </c>
      <c r="Z62" t="e">
        <f t="shared" si="3"/>
        <v>#N/A</v>
      </c>
      <c r="AA62" s="116">
        <v>410</v>
      </c>
      <c r="AB62" t="e">
        <f t="shared" si="4"/>
        <v>#N/A</v>
      </c>
    </row>
    <row r="63" spans="1:28" ht="18">
      <c r="A63" s="117" t="s">
        <v>136</v>
      </c>
      <c r="B63" t="e">
        <f t="shared" si="1"/>
        <v>#N/A</v>
      </c>
      <c r="C63" t="e">
        <f t="shared" si="1"/>
        <v>#N/A</v>
      </c>
      <c r="D63" t="e">
        <f t="shared" si="1"/>
        <v>#N/A</v>
      </c>
      <c r="E63" t="e">
        <f t="shared" si="1"/>
        <v>#N/A</v>
      </c>
      <c r="F63" t="e">
        <f t="shared" si="1"/>
        <v>#N/A</v>
      </c>
      <c r="G63" t="e">
        <f t="shared" si="1"/>
        <v>#N/A</v>
      </c>
      <c r="H63" t="e">
        <f t="shared" si="1"/>
        <v>#N/A</v>
      </c>
      <c r="I63" t="e">
        <f t="shared" si="1"/>
        <v>#N/A</v>
      </c>
      <c r="J63" t="e">
        <f t="shared" si="1"/>
        <v>#N/A</v>
      </c>
      <c r="K63" t="e">
        <f t="shared" si="1"/>
        <v>#N/A</v>
      </c>
      <c r="L63" t="e">
        <f t="shared" si="1"/>
        <v>#N/A</v>
      </c>
      <c r="M63" t="e">
        <f t="shared" si="1"/>
        <v>#N/A</v>
      </c>
      <c r="N63" t="e">
        <f t="shared" si="1"/>
        <v>#N/A</v>
      </c>
      <c r="O63" t="e">
        <f t="shared" si="1"/>
        <v>#N/A</v>
      </c>
      <c r="P63" t="e">
        <f t="shared" si="1"/>
        <v>#N/A</v>
      </c>
      <c r="Q63" t="e">
        <f t="shared" si="1"/>
        <v>#N/A</v>
      </c>
      <c r="R63" t="e">
        <f t="shared" si="2"/>
        <v>#N/A</v>
      </c>
      <c r="S63" t="e">
        <f t="shared" si="2"/>
        <v>#N/A</v>
      </c>
      <c r="T63" t="e">
        <f t="shared" si="2"/>
        <v>#N/A</v>
      </c>
      <c r="U63" t="e">
        <f t="shared" si="2"/>
        <v>#N/A</v>
      </c>
      <c r="V63" t="e">
        <f t="shared" si="2"/>
        <v>#N/A</v>
      </c>
      <c r="W63" t="e">
        <f t="shared" si="2"/>
        <v>#N/A</v>
      </c>
      <c r="X63" t="e">
        <f t="shared" si="2"/>
        <v>#N/A</v>
      </c>
      <c r="Y63" t="e">
        <f t="shared" si="2"/>
        <v>#N/A</v>
      </c>
      <c r="Z63" t="e">
        <f t="shared" si="3"/>
        <v>#N/A</v>
      </c>
      <c r="AA63" s="116">
        <v>319</v>
      </c>
      <c r="AB63" t="e">
        <f t="shared" si="4"/>
        <v>#N/A</v>
      </c>
    </row>
    <row r="64" spans="1:28" ht="18">
      <c r="A64" s="117" t="s">
        <v>137</v>
      </c>
      <c r="B64" t="e">
        <f t="shared" si="1"/>
        <v>#N/A</v>
      </c>
      <c r="C64" t="e">
        <f t="shared" si="1"/>
        <v>#N/A</v>
      </c>
      <c r="D64" t="e">
        <f t="shared" si="1"/>
        <v>#N/A</v>
      </c>
      <c r="E64" t="e">
        <f t="shared" si="1"/>
        <v>#N/A</v>
      </c>
      <c r="F64" t="e">
        <f t="shared" si="1"/>
        <v>#N/A</v>
      </c>
      <c r="G64" t="e">
        <f t="shared" si="1"/>
        <v>#N/A</v>
      </c>
      <c r="H64" t="e">
        <f t="shared" si="1"/>
        <v>#N/A</v>
      </c>
      <c r="I64" t="e">
        <f t="shared" si="1"/>
        <v>#N/A</v>
      </c>
      <c r="J64" t="e">
        <f t="shared" si="1"/>
        <v>#N/A</v>
      </c>
      <c r="K64" t="e">
        <f t="shared" si="1"/>
        <v>#N/A</v>
      </c>
      <c r="L64" t="e">
        <f t="shared" si="1"/>
        <v>#N/A</v>
      </c>
      <c r="M64" t="e">
        <f t="shared" si="1"/>
        <v>#N/A</v>
      </c>
      <c r="N64" t="e">
        <f t="shared" si="1"/>
        <v>#N/A</v>
      </c>
      <c r="O64" t="e">
        <f t="shared" si="1"/>
        <v>#N/A</v>
      </c>
      <c r="P64" t="e">
        <f t="shared" si="1"/>
        <v>#N/A</v>
      </c>
      <c r="Q64" t="e">
        <f t="shared" si="1"/>
        <v>#N/A</v>
      </c>
      <c r="R64" t="e">
        <f t="shared" si="2"/>
        <v>#N/A</v>
      </c>
      <c r="S64" t="e">
        <f t="shared" si="2"/>
        <v>#N/A</v>
      </c>
      <c r="T64" t="e">
        <f t="shared" si="2"/>
        <v>#N/A</v>
      </c>
      <c r="U64" t="e">
        <f t="shared" si="2"/>
        <v>#N/A</v>
      </c>
      <c r="V64" t="e">
        <f t="shared" si="2"/>
        <v>#N/A</v>
      </c>
      <c r="W64" t="e">
        <f t="shared" si="2"/>
        <v>#N/A</v>
      </c>
      <c r="X64" t="e">
        <f t="shared" si="2"/>
        <v>#N/A</v>
      </c>
      <c r="Y64" t="e">
        <f t="shared" si="2"/>
        <v>#N/A</v>
      </c>
      <c r="Z64" t="e">
        <f t="shared" si="3"/>
        <v>#N/A</v>
      </c>
      <c r="AA64" s="116">
        <v>242</v>
      </c>
      <c r="AB64" t="e">
        <f t="shared" si="4"/>
        <v>#N/A</v>
      </c>
    </row>
    <row r="65" spans="1:28" ht="18">
      <c r="A65" s="117" t="s">
        <v>138</v>
      </c>
      <c r="B65" t="e">
        <f t="shared" si="1"/>
        <v>#N/A</v>
      </c>
      <c r="C65" t="e">
        <f t="shared" si="1"/>
        <v>#N/A</v>
      </c>
      <c r="D65" t="e">
        <f t="shared" si="1"/>
        <v>#N/A</v>
      </c>
      <c r="E65" t="e">
        <f t="shared" si="1"/>
        <v>#N/A</v>
      </c>
      <c r="F65" t="e">
        <f t="shared" si="1"/>
        <v>#N/A</v>
      </c>
      <c r="G65" t="e">
        <f t="shared" si="1"/>
        <v>#N/A</v>
      </c>
      <c r="H65" t="e">
        <f t="shared" si="1"/>
        <v>#N/A</v>
      </c>
      <c r="I65" t="e">
        <f t="shared" si="1"/>
        <v>#N/A</v>
      </c>
      <c r="J65" t="e">
        <f t="shared" si="1"/>
        <v>#N/A</v>
      </c>
      <c r="K65" t="e">
        <f t="shared" si="1"/>
        <v>#N/A</v>
      </c>
      <c r="L65" t="e">
        <f t="shared" si="1"/>
        <v>#N/A</v>
      </c>
      <c r="M65" t="e">
        <f t="shared" si="1"/>
        <v>#N/A</v>
      </c>
      <c r="N65" t="e">
        <f t="shared" si="1"/>
        <v>#N/A</v>
      </c>
      <c r="O65" t="e">
        <f t="shared" si="1"/>
        <v>#N/A</v>
      </c>
      <c r="P65" t="e">
        <f t="shared" si="1"/>
        <v>#N/A</v>
      </c>
      <c r="Q65" t="e">
        <f t="shared" si="1"/>
        <v>#N/A</v>
      </c>
      <c r="R65" t="e">
        <f t="shared" si="2"/>
        <v>#N/A</v>
      </c>
      <c r="S65" t="e">
        <f t="shared" si="2"/>
        <v>#N/A</v>
      </c>
      <c r="T65" t="e">
        <f t="shared" si="2"/>
        <v>#N/A</v>
      </c>
      <c r="U65" t="e">
        <f t="shared" si="2"/>
        <v>#N/A</v>
      </c>
      <c r="V65" t="e">
        <f t="shared" si="2"/>
        <v>#N/A</v>
      </c>
      <c r="W65" t="e">
        <f t="shared" si="2"/>
        <v>#N/A</v>
      </c>
      <c r="X65" t="e">
        <f t="shared" si="2"/>
        <v>#N/A</v>
      </c>
      <c r="Y65" t="e">
        <f t="shared" si="2"/>
        <v>#N/A</v>
      </c>
      <c r="Z65" t="e">
        <f t="shared" si="3"/>
        <v>#N/A</v>
      </c>
      <c r="AA65" s="116">
        <v>156</v>
      </c>
      <c r="AB65" t="e">
        <f t="shared" si="4"/>
        <v>#N/A</v>
      </c>
    </row>
    <row r="66" spans="1:28" ht="18">
      <c r="A66" s="117" t="s">
        <v>139</v>
      </c>
      <c r="B66" t="e">
        <f t="shared" si="1"/>
        <v>#N/A</v>
      </c>
      <c r="C66" t="e">
        <f t="shared" si="1"/>
        <v>#N/A</v>
      </c>
      <c r="D66" t="e">
        <f t="shared" si="1"/>
        <v>#N/A</v>
      </c>
      <c r="E66" t="e">
        <f t="shared" si="1"/>
        <v>#N/A</v>
      </c>
      <c r="F66" t="e">
        <f t="shared" si="1"/>
        <v>#N/A</v>
      </c>
      <c r="G66" t="e">
        <f t="shared" si="1"/>
        <v>#N/A</v>
      </c>
      <c r="H66" t="e">
        <f t="shared" si="1"/>
        <v>#N/A</v>
      </c>
      <c r="I66" t="e">
        <f t="shared" si="1"/>
        <v>#N/A</v>
      </c>
      <c r="J66" t="e">
        <f t="shared" si="1"/>
        <v>#N/A</v>
      </c>
      <c r="K66" t="e">
        <f t="shared" si="1"/>
        <v>#N/A</v>
      </c>
      <c r="L66" t="e">
        <f t="shared" si="1"/>
        <v>#N/A</v>
      </c>
      <c r="M66" t="e">
        <f t="shared" si="1"/>
        <v>#N/A</v>
      </c>
      <c r="N66" t="e">
        <f t="shared" si="1"/>
        <v>#N/A</v>
      </c>
      <c r="O66" t="e">
        <f t="shared" si="1"/>
        <v>#N/A</v>
      </c>
      <c r="P66" t="e">
        <f t="shared" si="1"/>
        <v>#N/A</v>
      </c>
      <c r="Q66" t="e">
        <f t="shared" si="1"/>
        <v>#N/A</v>
      </c>
      <c r="R66" t="e">
        <f t="shared" si="2"/>
        <v>#N/A</v>
      </c>
      <c r="S66" t="e">
        <f t="shared" si="2"/>
        <v>#N/A</v>
      </c>
      <c r="T66" t="e">
        <f t="shared" si="2"/>
        <v>#N/A</v>
      </c>
      <c r="U66" t="e">
        <f t="shared" si="2"/>
        <v>#N/A</v>
      </c>
      <c r="V66" t="e">
        <f t="shared" si="2"/>
        <v>#N/A</v>
      </c>
      <c r="W66" t="e">
        <f t="shared" si="2"/>
        <v>#N/A</v>
      </c>
      <c r="X66" t="e">
        <f t="shared" si="2"/>
        <v>#N/A</v>
      </c>
      <c r="Y66" t="e">
        <f t="shared" si="2"/>
        <v>#N/A</v>
      </c>
      <c r="Z66" t="e">
        <f t="shared" si="3"/>
        <v>#N/A</v>
      </c>
      <c r="AA66" s="116">
        <v>150</v>
      </c>
      <c r="AB66" t="e">
        <f t="shared" si="4"/>
        <v>#N/A</v>
      </c>
    </row>
    <row r="67" spans="1:28" ht="18">
      <c r="A67" s="117" t="s">
        <v>140</v>
      </c>
      <c r="B67" t="e">
        <f t="shared" si="1"/>
        <v>#N/A</v>
      </c>
      <c r="C67" t="e">
        <f t="shared" si="1"/>
        <v>#N/A</v>
      </c>
      <c r="D67" t="e">
        <f t="shared" si="1"/>
        <v>#N/A</v>
      </c>
      <c r="E67" t="e">
        <f t="shared" si="1"/>
        <v>#N/A</v>
      </c>
      <c r="F67" t="e">
        <f t="shared" si="1"/>
        <v>#N/A</v>
      </c>
      <c r="G67" t="e">
        <f t="shared" si="1"/>
        <v>#N/A</v>
      </c>
      <c r="H67" t="e">
        <f t="shared" si="1"/>
        <v>#N/A</v>
      </c>
      <c r="I67" t="e">
        <f t="shared" si="1"/>
        <v>#N/A</v>
      </c>
      <c r="J67" t="e">
        <f t="shared" si="1"/>
        <v>#N/A</v>
      </c>
      <c r="K67" t="e">
        <f t="shared" si="1"/>
        <v>#N/A</v>
      </c>
      <c r="L67" t="e">
        <f t="shared" si="1"/>
        <v>#N/A</v>
      </c>
      <c r="M67" t="e">
        <f t="shared" si="1"/>
        <v>#N/A</v>
      </c>
      <c r="N67" t="e">
        <f t="shared" si="1"/>
        <v>#N/A</v>
      </c>
      <c r="O67" t="e">
        <f t="shared" si="1"/>
        <v>#N/A</v>
      </c>
      <c r="P67" t="e">
        <f t="shared" si="1"/>
        <v>#N/A</v>
      </c>
      <c r="Q67" t="e">
        <f t="shared" si="1"/>
        <v>#N/A</v>
      </c>
      <c r="R67" t="e">
        <f t="shared" si="2"/>
        <v>#N/A</v>
      </c>
      <c r="S67" t="e">
        <f t="shared" si="2"/>
        <v>#N/A</v>
      </c>
      <c r="T67" t="e">
        <f t="shared" si="2"/>
        <v>#N/A</v>
      </c>
      <c r="U67" t="e">
        <f t="shared" si="2"/>
        <v>#N/A</v>
      </c>
      <c r="V67" t="e">
        <f t="shared" si="2"/>
        <v>#N/A</v>
      </c>
      <c r="W67" t="e">
        <f t="shared" si="2"/>
        <v>#N/A</v>
      </c>
      <c r="X67" t="e">
        <f t="shared" si="2"/>
        <v>#N/A</v>
      </c>
      <c r="Y67" t="e">
        <f t="shared" si="2"/>
        <v>#N/A</v>
      </c>
      <c r="Z67" t="e">
        <f t="shared" si="3"/>
        <v>#N/A</v>
      </c>
      <c r="AA67" s="116">
        <v>73</v>
      </c>
      <c r="AB67" t="e">
        <f t="shared" si="4"/>
        <v>#N/A</v>
      </c>
    </row>
    <row r="68" spans="1:28" ht="18">
      <c r="A68" s="117" t="s">
        <v>141</v>
      </c>
      <c r="B68" t="e">
        <f t="shared" si="1"/>
        <v>#N/A</v>
      </c>
      <c r="C68" t="e">
        <f t="shared" si="1"/>
        <v>#N/A</v>
      </c>
      <c r="D68" t="e">
        <f t="shared" si="1"/>
        <v>#N/A</v>
      </c>
      <c r="E68" t="e">
        <f t="shared" si="1"/>
        <v>#N/A</v>
      </c>
      <c r="F68" t="e">
        <f t="shared" si="1"/>
        <v>#N/A</v>
      </c>
      <c r="G68" t="e">
        <f t="shared" si="1"/>
        <v>#N/A</v>
      </c>
      <c r="H68" t="e">
        <f t="shared" si="1"/>
        <v>#N/A</v>
      </c>
      <c r="I68" t="e">
        <f t="shared" si="1"/>
        <v>#N/A</v>
      </c>
      <c r="J68" t="e">
        <f t="shared" si="1"/>
        <v>#N/A</v>
      </c>
      <c r="K68" t="e">
        <f t="shared" si="1"/>
        <v>#N/A</v>
      </c>
      <c r="L68" t="e">
        <f t="shared" si="1"/>
        <v>#N/A</v>
      </c>
      <c r="M68" t="e">
        <f t="shared" si="1"/>
        <v>#N/A</v>
      </c>
      <c r="N68" t="e">
        <f t="shared" si="1"/>
        <v>#N/A</v>
      </c>
      <c r="O68" t="e">
        <f t="shared" si="1"/>
        <v>#N/A</v>
      </c>
      <c r="P68" t="e">
        <f t="shared" si="1"/>
        <v>#N/A</v>
      </c>
      <c r="Q68" t="e">
        <f t="shared" si="1"/>
        <v>#N/A</v>
      </c>
      <c r="R68" t="e">
        <f t="shared" si="2"/>
        <v>#N/A</v>
      </c>
      <c r="S68" t="e">
        <f t="shared" si="2"/>
        <v>#N/A</v>
      </c>
      <c r="T68" t="e">
        <f t="shared" si="2"/>
        <v>#N/A</v>
      </c>
      <c r="U68" t="e">
        <f t="shared" si="2"/>
        <v>#N/A</v>
      </c>
      <c r="V68" t="e">
        <f t="shared" si="2"/>
        <v>#N/A</v>
      </c>
      <c r="W68" t="e">
        <f t="shared" si="2"/>
        <v>#N/A</v>
      </c>
      <c r="X68" t="e">
        <f t="shared" si="2"/>
        <v>#N/A</v>
      </c>
      <c r="Y68" t="e">
        <f t="shared" si="2"/>
        <v>#N/A</v>
      </c>
      <c r="Z68" t="e">
        <f t="shared" si="3"/>
        <v>#N/A</v>
      </c>
      <c r="AA68" s="116">
        <v>64</v>
      </c>
      <c r="AB68" t="e">
        <f t="shared" si="4"/>
        <v>#N/A</v>
      </c>
    </row>
    <row r="69" spans="1:28" ht="18">
      <c r="A69" s="117" t="s">
        <v>142</v>
      </c>
      <c r="B69" t="e">
        <f t="shared" si="1"/>
        <v>#N/A</v>
      </c>
      <c r="C69" t="e">
        <f t="shared" si="1"/>
        <v>#N/A</v>
      </c>
      <c r="D69" t="e">
        <f t="shared" si="1"/>
        <v>#N/A</v>
      </c>
      <c r="E69" t="e">
        <f t="shared" si="1"/>
        <v>#N/A</v>
      </c>
      <c r="F69" t="e">
        <f t="shared" si="1"/>
        <v>#N/A</v>
      </c>
      <c r="G69" t="e">
        <f t="shared" si="1"/>
        <v>#N/A</v>
      </c>
      <c r="H69" t="e">
        <f t="shared" si="1"/>
        <v>#N/A</v>
      </c>
      <c r="I69" t="e">
        <f t="shared" si="1"/>
        <v>#N/A</v>
      </c>
      <c r="J69" t="e">
        <f t="shared" si="1"/>
        <v>#N/A</v>
      </c>
      <c r="K69" t="e">
        <f t="shared" si="1"/>
        <v>#N/A</v>
      </c>
      <c r="L69" t="e">
        <f t="shared" si="1"/>
        <v>#N/A</v>
      </c>
      <c r="M69" t="e">
        <f t="shared" si="1"/>
        <v>#N/A</v>
      </c>
      <c r="N69" t="e">
        <f t="shared" si="1"/>
        <v>#N/A</v>
      </c>
      <c r="O69" t="e">
        <f t="shared" si="1"/>
        <v>#N/A</v>
      </c>
      <c r="P69" t="e">
        <f t="shared" si="1"/>
        <v>#N/A</v>
      </c>
      <c r="Q69" t="e">
        <f t="shared" si="1"/>
        <v>#N/A</v>
      </c>
      <c r="R69" t="e">
        <f t="shared" si="2"/>
        <v>#N/A</v>
      </c>
      <c r="S69" t="e">
        <f t="shared" si="2"/>
        <v>#N/A</v>
      </c>
      <c r="T69" t="e">
        <f t="shared" si="2"/>
        <v>#N/A</v>
      </c>
      <c r="U69" t="e">
        <f t="shared" si="2"/>
        <v>#N/A</v>
      </c>
      <c r="V69" t="e">
        <f t="shared" si="2"/>
        <v>#N/A</v>
      </c>
      <c r="W69" t="e">
        <f t="shared" si="2"/>
        <v>#N/A</v>
      </c>
      <c r="X69" t="e">
        <f t="shared" si="2"/>
        <v>#N/A</v>
      </c>
      <c r="Y69" t="e">
        <f t="shared" si="2"/>
        <v>#N/A</v>
      </c>
      <c r="Z69" t="e">
        <f t="shared" si="3"/>
        <v>#N/A</v>
      </c>
      <c r="AA69" s="116">
        <v>56</v>
      </c>
      <c r="AB69" t="e">
        <f t="shared" si="4"/>
        <v>#N/A</v>
      </c>
    </row>
    <row r="70" spans="1:28" ht="18">
      <c r="A70" s="117" t="s">
        <v>143</v>
      </c>
      <c r="B70" t="e">
        <f t="shared" si="1"/>
        <v>#N/A</v>
      </c>
      <c r="C70" t="e">
        <f t="shared" si="1"/>
        <v>#N/A</v>
      </c>
      <c r="D70" t="e">
        <f t="shared" si="1"/>
        <v>#N/A</v>
      </c>
      <c r="E70" t="e">
        <f t="shared" si="1"/>
        <v>#N/A</v>
      </c>
      <c r="F70" t="e">
        <f t="shared" si="1"/>
        <v>#N/A</v>
      </c>
      <c r="G70" t="e">
        <f t="shared" si="1"/>
        <v>#N/A</v>
      </c>
      <c r="H70" t="e">
        <f t="shared" si="1"/>
        <v>#N/A</v>
      </c>
      <c r="I70" t="e">
        <f t="shared" si="1"/>
        <v>#N/A</v>
      </c>
      <c r="J70" t="e">
        <f t="shared" si="1"/>
        <v>#N/A</v>
      </c>
      <c r="K70" t="e">
        <f t="shared" si="1"/>
        <v>#N/A</v>
      </c>
      <c r="L70" t="e">
        <f t="shared" si="1"/>
        <v>#N/A</v>
      </c>
      <c r="M70" t="e">
        <f t="shared" si="1"/>
        <v>#N/A</v>
      </c>
      <c r="N70" t="e">
        <f t="shared" si="1"/>
        <v>#N/A</v>
      </c>
      <c r="O70" t="e">
        <f t="shared" si="1"/>
        <v>#N/A</v>
      </c>
      <c r="P70" t="e">
        <f t="shared" si="1"/>
        <v>#N/A</v>
      </c>
      <c r="Q70" t="e">
        <f t="shared" si="1"/>
        <v>#N/A</v>
      </c>
      <c r="R70" t="e">
        <f t="shared" si="2"/>
        <v>#N/A</v>
      </c>
      <c r="S70" t="e">
        <f t="shared" si="2"/>
        <v>#N/A</v>
      </c>
      <c r="T70" t="e">
        <f t="shared" si="2"/>
        <v>#N/A</v>
      </c>
      <c r="U70" t="e">
        <f t="shared" si="2"/>
        <v>#N/A</v>
      </c>
      <c r="V70" t="e">
        <f t="shared" si="2"/>
        <v>#N/A</v>
      </c>
      <c r="W70" t="e">
        <f t="shared" si="2"/>
        <v>#N/A</v>
      </c>
      <c r="X70" t="e">
        <f t="shared" si="2"/>
        <v>#N/A</v>
      </c>
      <c r="Y70" t="e">
        <f t="shared" si="2"/>
        <v>#N/A</v>
      </c>
      <c r="Z70" t="e">
        <f t="shared" si="3"/>
        <v>#N/A</v>
      </c>
      <c r="AA70" s="116">
        <v>51</v>
      </c>
      <c r="AB70" t="e">
        <f t="shared" si="4"/>
        <v>#N/A</v>
      </c>
    </row>
    <row r="71" spans="1:28" ht="18">
      <c r="A71" s="117" t="s">
        <v>144</v>
      </c>
      <c r="B71" t="e">
        <f t="shared" si="1"/>
        <v>#N/A</v>
      </c>
      <c r="C71" t="e">
        <f t="shared" si="1"/>
        <v>#N/A</v>
      </c>
      <c r="D71" t="e">
        <f t="shared" si="1"/>
        <v>#N/A</v>
      </c>
      <c r="E71" t="e">
        <f t="shared" si="1"/>
        <v>#N/A</v>
      </c>
      <c r="F71" t="e">
        <f t="shared" si="1"/>
        <v>#N/A</v>
      </c>
      <c r="G71" t="e">
        <f t="shared" si="1"/>
        <v>#N/A</v>
      </c>
      <c r="H71" t="e">
        <f t="shared" si="1"/>
        <v>#N/A</v>
      </c>
      <c r="I71" t="e">
        <f t="shared" si="1"/>
        <v>#N/A</v>
      </c>
      <c r="J71" t="e">
        <f t="shared" si="1"/>
        <v>#N/A</v>
      </c>
      <c r="K71" t="e">
        <f t="shared" si="1"/>
        <v>#N/A</v>
      </c>
      <c r="L71" t="e">
        <f t="shared" si="1"/>
        <v>#N/A</v>
      </c>
      <c r="M71" t="e">
        <f t="shared" si="1"/>
        <v>#N/A</v>
      </c>
      <c r="N71" t="e">
        <f t="shared" si="1"/>
        <v>#N/A</v>
      </c>
      <c r="O71" t="e">
        <f t="shared" si="1"/>
        <v>#N/A</v>
      </c>
      <c r="P71" t="e">
        <f t="shared" si="1"/>
        <v>#N/A</v>
      </c>
      <c r="Q71" t="e">
        <f t="shared" si="1"/>
        <v>#N/A</v>
      </c>
      <c r="R71" t="e">
        <f t="shared" si="2"/>
        <v>#N/A</v>
      </c>
      <c r="S71" t="e">
        <f t="shared" si="2"/>
        <v>#N/A</v>
      </c>
      <c r="T71" t="e">
        <f t="shared" si="2"/>
        <v>#N/A</v>
      </c>
      <c r="U71" t="e">
        <f t="shared" si="2"/>
        <v>#N/A</v>
      </c>
      <c r="V71" t="e">
        <f t="shared" si="2"/>
        <v>#N/A</v>
      </c>
      <c r="W71" t="e">
        <f t="shared" si="2"/>
        <v>#N/A</v>
      </c>
      <c r="X71" t="e">
        <f t="shared" si="2"/>
        <v>#N/A</v>
      </c>
      <c r="Y71" t="e">
        <f t="shared" si="2"/>
        <v>#N/A</v>
      </c>
      <c r="Z71" t="e">
        <f t="shared" si="3"/>
        <v>#N/A</v>
      </c>
      <c r="AA71" s="116">
        <v>51</v>
      </c>
      <c r="AB71" t="e">
        <f t="shared" si="4"/>
        <v>#N/A</v>
      </c>
    </row>
    <row r="72" spans="1:28" ht="18">
      <c r="A72" s="117" t="s">
        <v>145</v>
      </c>
      <c r="B72" t="e">
        <f t="shared" si="1"/>
        <v>#N/A</v>
      </c>
      <c r="C72" t="e">
        <f t="shared" si="1"/>
        <v>#N/A</v>
      </c>
      <c r="D72" t="e">
        <f t="shared" si="1"/>
        <v>#N/A</v>
      </c>
      <c r="E72" t="e">
        <f t="shared" si="1"/>
        <v>#N/A</v>
      </c>
      <c r="F72" t="e">
        <f t="shared" si="1"/>
        <v>#N/A</v>
      </c>
      <c r="G72" t="e">
        <f t="shared" si="1"/>
        <v>#N/A</v>
      </c>
      <c r="H72" t="e">
        <f t="shared" si="1"/>
        <v>#N/A</v>
      </c>
      <c r="I72" t="e">
        <f t="shared" si="1"/>
        <v>#N/A</v>
      </c>
      <c r="J72" t="e">
        <f t="shared" si="1"/>
        <v>#N/A</v>
      </c>
      <c r="K72" t="e">
        <f t="shared" si="1"/>
        <v>#N/A</v>
      </c>
      <c r="L72" t="e">
        <f t="shared" si="1"/>
        <v>#N/A</v>
      </c>
      <c r="M72" t="e">
        <f t="shared" si="1"/>
        <v>#N/A</v>
      </c>
      <c r="N72" t="e">
        <f t="shared" si="1"/>
        <v>#N/A</v>
      </c>
      <c r="O72" t="e">
        <f t="shared" si="1"/>
        <v>#N/A</v>
      </c>
      <c r="P72" t="e">
        <f t="shared" si="1"/>
        <v>#N/A</v>
      </c>
      <c r="Q72" t="e">
        <f t="shared" si="1"/>
        <v>#N/A</v>
      </c>
      <c r="R72" t="e">
        <f t="shared" si="2"/>
        <v>#N/A</v>
      </c>
      <c r="S72" t="e">
        <f t="shared" si="2"/>
        <v>#N/A</v>
      </c>
      <c r="T72" t="e">
        <f t="shared" si="2"/>
        <v>#N/A</v>
      </c>
      <c r="U72" t="e">
        <f t="shared" si="2"/>
        <v>#N/A</v>
      </c>
      <c r="V72" t="e">
        <f t="shared" si="2"/>
        <v>#N/A</v>
      </c>
      <c r="W72" t="e">
        <f t="shared" si="2"/>
        <v>#N/A</v>
      </c>
      <c r="X72" t="e">
        <f t="shared" si="2"/>
        <v>#N/A</v>
      </c>
      <c r="Y72" t="e">
        <f t="shared" si="2"/>
        <v>#N/A</v>
      </c>
      <c r="Z72" t="e">
        <f t="shared" si="3"/>
        <v>#N/A</v>
      </c>
      <c r="AA72" s="116">
        <v>41</v>
      </c>
      <c r="AB72" t="e">
        <f t="shared" si="4"/>
        <v>#N/A</v>
      </c>
    </row>
    <row r="73" spans="1:28" ht="18">
      <c r="A73" s="117" t="s">
        <v>146</v>
      </c>
      <c r="B73" t="e">
        <f t="shared" si="1"/>
        <v>#N/A</v>
      </c>
      <c r="C73" t="e">
        <f t="shared" si="1"/>
        <v>#N/A</v>
      </c>
      <c r="D73" t="e">
        <f t="shared" si="1"/>
        <v>#N/A</v>
      </c>
      <c r="E73" t="e">
        <f t="shared" si="1"/>
        <v>#N/A</v>
      </c>
      <c r="F73" t="e">
        <f t="shared" si="1"/>
        <v>#N/A</v>
      </c>
      <c r="G73" t="e">
        <f t="shared" si="1"/>
        <v>#N/A</v>
      </c>
      <c r="H73" t="e">
        <f t="shared" si="1"/>
        <v>#N/A</v>
      </c>
      <c r="I73" t="e">
        <f t="shared" si="1"/>
        <v>#N/A</v>
      </c>
      <c r="J73" t="e">
        <f t="shared" si="1"/>
        <v>#N/A</v>
      </c>
      <c r="K73" t="e">
        <f t="shared" si="1"/>
        <v>#N/A</v>
      </c>
      <c r="L73" t="e">
        <f t="shared" si="1"/>
        <v>#N/A</v>
      </c>
      <c r="M73" t="e">
        <f t="shared" si="1"/>
        <v>#N/A</v>
      </c>
      <c r="N73" t="e">
        <f t="shared" si="1"/>
        <v>#N/A</v>
      </c>
      <c r="O73" t="e">
        <f t="shared" si="1"/>
        <v>#N/A</v>
      </c>
      <c r="P73" t="e">
        <f t="shared" si="1"/>
        <v>#N/A</v>
      </c>
      <c r="Q73" t="e">
        <f t="shared" si="1"/>
        <v>#N/A</v>
      </c>
      <c r="R73" t="e">
        <f t="shared" si="2"/>
        <v>#N/A</v>
      </c>
      <c r="S73" t="e">
        <f t="shared" si="2"/>
        <v>#N/A</v>
      </c>
      <c r="T73" t="e">
        <f t="shared" si="2"/>
        <v>#N/A</v>
      </c>
      <c r="U73" t="e">
        <f t="shared" si="2"/>
        <v>#N/A</v>
      </c>
      <c r="V73" t="e">
        <f t="shared" si="2"/>
        <v>#N/A</v>
      </c>
      <c r="W73" t="e">
        <f t="shared" si="2"/>
        <v>#N/A</v>
      </c>
      <c r="X73" t="e">
        <f t="shared" si="2"/>
        <v>#N/A</v>
      </c>
      <c r="Y73" t="e">
        <f t="shared" si="2"/>
        <v>#N/A</v>
      </c>
      <c r="Z73" t="e">
        <f t="shared" si="3"/>
        <v>#N/A</v>
      </c>
      <c r="AA73" s="116">
        <v>38</v>
      </c>
      <c r="AB73" t="e">
        <f t="shared" si="4"/>
        <v>#N/A</v>
      </c>
    </row>
    <row r="74" spans="1:28" ht="18">
      <c r="A74" s="117" t="s">
        <v>147</v>
      </c>
      <c r="B74" t="e">
        <f t="shared" si="1"/>
        <v>#N/A</v>
      </c>
      <c r="C74" t="e">
        <f t="shared" si="1"/>
        <v>#N/A</v>
      </c>
      <c r="D74" t="e">
        <f t="shared" si="1"/>
        <v>#N/A</v>
      </c>
      <c r="E74" t="e">
        <f t="shared" si="1"/>
        <v>#N/A</v>
      </c>
      <c r="F74" t="e">
        <f t="shared" si="1"/>
        <v>#N/A</v>
      </c>
      <c r="G74" t="e">
        <f t="shared" si="1"/>
        <v>#N/A</v>
      </c>
      <c r="H74" t="e">
        <f t="shared" si="1"/>
        <v>#N/A</v>
      </c>
      <c r="I74" t="e">
        <f t="shared" si="1"/>
        <v>#N/A</v>
      </c>
      <c r="J74" t="e">
        <f t="shared" si="1"/>
        <v>#N/A</v>
      </c>
      <c r="K74" t="e">
        <f t="shared" si="1"/>
        <v>#N/A</v>
      </c>
      <c r="L74" t="e">
        <f t="shared" si="1"/>
        <v>#N/A</v>
      </c>
      <c r="M74" t="e">
        <f t="shared" si="1"/>
        <v>#N/A</v>
      </c>
      <c r="N74" t="e">
        <f t="shared" si="1"/>
        <v>#N/A</v>
      </c>
      <c r="O74" t="e">
        <f t="shared" si="1"/>
        <v>#N/A</v>
      </c>
      <c r="P74" t="e">
        <f t="shared" si="1"/>
        <v>#N/A</v>
      </c>
      <c r="Q74" t="e">
        <f t="shared" si="1"/>
        <v>#N/A</v>
      </c>
      <c r="R74" t="e">
        <f t="shared" si="2"/>
        <v>#N/A</v>
      </c>
      <c r="S74" t="e">
        <f t="shared" si="2"/>
        <v>#N/A</v>
      </c>
      <c r="T74" t="e">
        <f t="shared" si="2"/>
        <v>#N/A</v>
      </c>
      <c r="U74" t="e">
        <f t="shared" si="2"/>
        <v>#N/A</v>
      </c>
      <c r="V74" t="e">
        <f t="shared" si="2"/>
        <v>#N/A</v>
      </c>
      <c r="W74" t="e">
        <f t="shared" si="2"/>
        <v>#N/A</v>
      </c>
      <c r="X74" t="e">
        <f t="shared" si="2"/>
        <v>#N/A</v>
      </c>
      <c r="Y74" t="e">
        <f t="shared" si="2"/>
        <v>#N/A</v>
      </c>
      <c r="Z74" t="e">
        <f t="shared" si="3"/>
        <v>#N/A</v>
      </c>
      <c r="AA74" s="116">
        <v>38</v>
      </c>
      <c r="AB74" t="e">
        <f t="shared" si="4"/>
        <v>#N/A</v>
      </c>
    </row>
    <row r="75" spans="1:28" ht="18">
      <c r="A75" s="117" t="s">
        <v>148</v>
      </c>
      <c r="B75" t="e">
        <f t="shared" si="1"/>
        <v>#N/A</v>
      </c>
      <c r="C75" t="e">
        <f t="shared" si="1"/>
        <v>#N/A</v>
      </c>
      <c r="D75" t="e">
        <f t="shared" si="1"/>
        <v>#N/A</v>
      </c>
      <c r="E75" t="e">
        <f t="shared" si="1"/>
        <v>#N/A</v>
      </c>
      <c r="F75" t="e">
        <f t="shared" si="1"/>
        <v>#N/A</v>
      </c>
      <c r="G75" t="e">
        <f t="shared" si="1"/>
        <v>#N/A</v>
      </c>
      <c r="H75" t="e">
        <f t="shared" si="1"/>
        <v>#N/A</v>
      </c>
      <c r="I75" t="e">
        <f t="shared" si="1"/>
        <v>#N/A</v>
      </c>
      <c r="J75" t="e">
        <f t="shared" si="1"/>
        <v>#N/A</v>
      </c>
      <c r="K75" t="e">
        <f t="shared" si="1"/>
        <v>#N/A</v>
      </c>
      <c r="L75" t="e">
        <f t="shared" si="1"/>
        <v>#N/A</v>
      </c>
      <c r="M75" t="e">
        <f t="shared" si="1"/>
        <v>#N/A</v>
      </c>
      <c r="N75" t="e">
        <f t="shared" si="1"/>
        <v>#N/A</v>
      </c>
      <c r="O75" t="e">
        <f t="shared" si="1"/>
        <v>#N/A</v>
      </c>
      <c r="P75" t="e">
        <f t="shared" si="1"/>
        <v>#N/A</v>
      </c>
      <c r="Q75" t="e">
        <f t="shared" si="1"/>
        <v>#N/A</v>
      </c>
      <c r="R75" t="e">
        <f t="shared" si="2"/>
        <v>#N/A</v>
      </c>
      <c r="S75" t="e">
        <f t="shared" si="2"/>
        <v>#N/A</v>
      </c>
      <c r="T75" t="e">
        <f t="shared" si="2"/>
        <v>#N/A</v>
      </c>
      <c r="U75" t="e">
        <f t="shared" si="2"/>
        <v>#N/A</v>
      </c>
      <c r="V75" t="e">
        <f t="shared" si="2"/>
        <v>#N/A</v>
      </c>
      <c r="W75" t="e">
        <f t="shared" si="2"/>
        <v>#N/A</v>
      </c>
      <c r="X75" t="e">
        <f t="shared" si="2"/>
        <v>#N/A</v>
      </c>
      <c r="Y75" t="e">
        <f t="shared" si="2"/>
        <v>#N/A</v>
      </c>
      <c r="Z75" t="e">
        <f t="shared" si="3"/>
        <v>#N/A</v>
      </c>
      <c r="AA75" s="116">
        <v>33</v>
      </c>
      <c r="AB75" t="e">
        <f t="shared" si="4"/>
        <v>#N/A</v>
      </c>
    </row>
    <row r="76" spans="1:28" ht="18">
      <c r="A76" s="117" t="s">
        <v>149</v>
      </c>
      <c r="B76" t="e">
        <f t="shared" si="1"/>
        <v>#N/A</v>
      </c>
      <c r="C76" t="e">
        <f t="shared" si="1"/>
        <v>#N/A</v>
      </c>
      <c r="D76" t="e">
        <f t="shared" si="1"/>
        <v>#N/A</v>
      </c>
      <c r="E76" t="e">
        <f t="shared" si="1"/>
        <v>#N/A</v>
      </c>
      <c r="F76" t="e">
        <f t="shared" si="1"/>
        <v>#N/A</v>
      </c>
      <c r="G76" t="e">
        <f t="shared" si="1"/>
        <v>#N/A</v>
      </c>
      <c r="H76" t="e">
        <f t="shared" si="1"/>
        <v>#N/A</v>
      </c>
      <c r="I76" t="e">
        <f t="shared" si="1"/>
        <v>#N/A</v>
      </c>
      <c r="J76" t="e">
        <f t="shared" si="1"/>
        <v>#N/A</v>
      </c>
      <c r="K76" t="e">
        <f t="shared" si="1"/>
        <v>#N/A</v>
      </c>
      <c r="L76" t="e">
        <f t="shared" si="1"/>
        <v>#N/A</v>
      </c>
      <c r="M76" t="e">
        <f t="shared" si="1"/>
        <v>#N/A</v>
      </c>
      <c r="N76" t="e">
        <f t="shared" si="1"/>
        <v>#N/A</v>
      </c>
      <c r="O76" t="e">
        <f t="shared" si="1"/>
        <v>#N/A</v>
      </c>
      <c r="P76" t="e">
        <f t="shared" si="1"/>
        <v>#N/A</v>
      </c>
      <c r="Q76" t="e">
        <f t="shared" ref="Q76:Y81" si="5">_xlfn.LET(
    _xlpm.race_pos, VLOOKUP($A76, $A$2:$Y$23, (Q$59 + 1), FALSE),
    _xlpm.sprint_pos, VLOOKUP($A76, $A$27:$Y$48, (Q$59 + 1), FALSE),
    _xlpm.race_pts, VLOOKUP(_xlpm.race_pos, $AE$12:$AG$33, 2, TRUE),
    _xlpm.sprint_pts, VLOOKUP(_xlpm.sprint_pos, $AE$12:$AG$33, 3, TRUE),
    _xlpm.race_pts + _xlpm.sprint_pts
)</f>
        <v>#N/A</v>
      </c>
      <c r="R76" t="e">
        <f t="shared" si="5"/>
        <v>#N/A</v>
      </c>
      <c r="S76" t="e">
        <f t="shared" si="5"/>
        <v>#N/A</v>
      </c>
      <c r="T76" t="e">
        <f t="shared" si="5"/>
        <v>#N/A</v>
      </c>
      <c r="U76" t="e">
        <f t="shared" si="5"/>
        <v>#N/A</v>
      </c>
      <c r="V76" t="e">
        <f t="shared" si="5"/>
        <v>#N/A</v>
      </c>
      <c r="W76" t="e">
        <f t="shared" si="5"/>
        <v>#N/A</v>
      </c>
      <c r="X76" t="e">
        <f t="shared" si="5"/>
        <v>#N/A</v>
      </c>
      <c r="Y76" t="e">
        <f t="shared" si="5"/>
        <v>#N/A</v>
      </c>
      <c r="Z76" t="e">
        <f t="shared" si="3"/>
        <v>#N/A</v>
      </c>
      <c r="AA76" s="116">
        <v>33</v>
      </c>
      <c r="AB76" t="e">
        <f t="shared" si="4"/>
        <v>#N/A</v>
      </c>
    </row>
    <row r="77" spans="1:28" ht="18">
      <c r="A77" s="117" t="s">
        <v>150</v>
      </c>
      <c r="B77" t="e">
        <f t="shared" ref="B77:Q81" si="6">_xlfn.LET(
    _xlpm.race_pos, VLOOKUP($A77, $A$2:$Y$23, (B$59 + 1), FALSE),
    _xlpm.sprint_pos, VLOOKUP($A77, $A$27:$Y$48, (B$59 + 1), FALSE),
    _xlpm.race_pts, VLOOKUP(_xlpm.race_pos, $AE$12:$AG$33, 2, TRUE),
    _xlpm.sprint_pts, VLOOKUP(_xlpm.sprint_pos, $AE$12:$AG$33, 3, TRUE),
    _xlpm.race_pts + _xlpm.sprint_pts
)</f>
        <v>#N/A</v>
      </c>
      <c r="C77" t="e">
        <f t="shared" si="6"/>
        <v>#N/A</v>
      </c>
      <c r="D77" t="e">
        <f t="shared" si="6"/>
        <v>#N/A</v>
      </c>
      <c r="E77" t="e">
        <f t="shared" si="6"/>
        <v>#N/A</v>
      </c>
      <c r="F77" t="e">
        <f t="shared" si="6"/>
        <v>#N/A</v>
      </c>
      <c r="G77" t="e">
        <f t="shared" si="6"/>
        <v>#N/A</v>
      </c>
      <c r="H77" t="e">
        <f t="shared" si="6"/>
        <v>#N/A</v>
      </c>
      <c r="I77" t="e">
        <f t="shared" si="6"/>
        <v>#N/A</v>
      </c>
      <c r="J77" t="e">
        <f t="shared" si="6"/>
        <v>#N/A</v>
      </c>
      <c r="K77" t="e">
        <f t="shared" si="6"/>
        <v>#N/A</v>
      </c>
      <c r="L77" t="e">
        <f t="shared" si="6"/>
        <v>#N/A</v>
      </c>
      <c r="M77" t="e">
        <f t="shared" si="6"/>
        <v>#N/A</v>
      </c>
      <c r="N77" t="e">
        <f t="shared" si="6"/>
        <v>#N/A</v>
      </c>
      <c r="O77" t="e">
        <f t="shared" si="6"/>
        <v>#N/A</v>
      </c>
      <c r="P77" t="e">
        <f t="shared" si="6"/>
        <v>#N/A</v>
      </c>
      <c r="Q77" t="e">
        <f t="shared" si="6"/>
        <v>#N/A</v>
      </c>
      <c r="R77" t="e">
        <f t="shared" si="5"/>
        <v>#N/A</v>
      </c>
      <c r="S77" t="e">
        <f t="shared" si="5"/>
        <v>#N/A</v>
      </c>
      <c r="T77" t="e">
        <f t="shared" si="5"/>
        <v>#N/A</v>
      </c>
      <c r="U77" t="e">
        <f t="shared" si="5"/>
        <v>#N/A</v>
      </c>
      <c r="V77" t="e">
        <f t="shared" si="5"/>
        <v>#N/A</v>
      </c>
      <c r="W77" t="e">
        <f t="shared" si="5"/>
        <v>#N/A</v>
      </c>
      <c r="X77" t="e">
        <f t="shared" si="5"/>
        <v>#N/A</v>
      </c>
      <c r="Y77" t="e">
        <f t="shared" si="5"/>
        <v>#N/A</v>
      </c>
      <c r="Z77" t="e">
        <f t="shared" si="3"/>
        <v>#N/A</v>
      </c>
      <c r="AA77" s="116">
        <v>22</v>
      </c>
      <c r="AB77" t="e">
        <f t="shared" si="4"/>
        <v>#N/A</v>
      </c>
    </row>
    <row r="78" spans="1:28" ht="18">
      <c r="A78" s="117" t="s">
        <v>151</v>
      </c>
      <c r="B78" t="e">
        <f t="shared" si="6"/>
        <v>#N/A</v>
      </c>
      <c r="C78" t="e">
        <f t="shared" si="6"/>
        <v>#N/A</v>
      </c>
      <c r="D78" t="e">
        <f t="shared" si="6"/>
        <v>#N/A</v>
      </c>
      <c r="E78" t="e">
        <f t="shared" si="6"/>
        <v>#N/A</v>
      </c>
      <c r="F78" t="e">
        <f t="shared" si="6"/>
        <v>#N/A</v>
      </c>
      <c r="G78" t="e">
        <f t="shared" si="6"/>
        <v>#N/A</v>
      </c>
      <c r="H78" t="e">
        <f t="shared" si="6"/>
        <v>#N/A</v>
      </c>
      <c r="I78" t="e">
        <f t="shared" si="6"/>
        <v>#N/A</v>
      </c>
      <c r="J78" t="e">
        <f t="shared" si="6"/>
        <v>#N/A</v>
      </c>
      <c r="K78" t="e">
        <f t="shared" si="6"/>
        <v>#N/A</v>
      </c>
      <c r="L78" t="e">
        <f t="shared" si="6"/>
        <v>#N/A</v>
      </c>
      <c r="M78" t="e">
        <f t="shared" si="6"/>
        <v>#N/A</v>
      </c>
      <c r="N78" t="e">
        <f t="shared" si="6"/>
        <v>#N/A</v>
      </c>
      <c r="O78" t="e">
        <f t="shared" si="6"/>
        <v>#N/A</v>
      </c>
      <c r="P78" t="e">
        <f t="shared" si="6"/>
        <v>#N/A</v>
      </c>
      <c r="Q78" t="e">
        <f t="shared" si="6"/>
        <v>#N/A</v>
      </c>
      <c r="R78" t="e">
        <f t="shared" si="5"/>
        <v>#N/A</v>
      </c>
      <c r="S78" t="e">
        <f t="shared" si="5"/>
        <v>#N/A</v>
      </c>
      <c r="T78" t="e">
        <f t="shared" si="5"/>
        <v>#N/A</v>
      </c>
      <c r="U78" t="e">
        <f t="shared" si="5"/>
        <v>#N/A</v>
      </c>
      <c r="V78" t="e">
        <f t="shared" si="5"/>
        <v>#N/A</v>
      </c>
      <c r="W78" t="e">
        <f t="shared" si="5"/>
        <v>#N/A</v>
      </c>
      <c r="X78" t="e">
        <f t="shared" si="5"/>
        <v>#N/A</v>
      </c>
      <c r="Y78" t="e">
        <f t="shared" si="5"/>
        <v>#N/A</v>
      </c>
      <c r="Z78" t="e">
        <f t="shared" si="3"/>
        <v>#N/A</v>
      </c>
      <c r="AA78" s="116">
        <v>19</v>
      </c>
      <c r="AB78" t="e">
        <f t="shared" si="4"/>
        <v>#N/A</v>
      </c>
    </row>
    <row r="79" spans="1:28" ht="18">
      <c r="A79" s="117" t="s">
        <v>152</v>
      </c>
      <c r="B79" t="e">
        <f t="shared" si="6"/>
        <v>#N/A</v>
      </c>
      <c r="C79" t="e">
        <f t="shared" si="6"/>
        <v>#N/A</v>
      </c>
      <c r="D79" t="e">
        <f t="shared" si="6"/>
        <v>#N/A</v>
      </c>
      <c r="E79" t="e">
        <f t="shared" si="6"/>
        <v>#N/A</v>
      </c>
      <c r="F79" t="e">
        <f t="shared" si="6"/>
        <v>#N/A</v>
      </c>
      <c r="G79" t="e">
        <f t="shared" si="6"/>
        <v>#N/A</v>
      </c>
      <c r="H79" t="e">
        <f t="shared" si="6"/>
        <v>#N/A</v>
      </c>
      <c r="I79" t="e">
        <f t="shared" si="6"/>
        <v>#N/A</v>
      </c>
      <c r="J79" t="e">
        <f t="shared" si="6"/>
        <v>#N/A</v>
      </c>
      <c r="K79" t="e">
        <f t="shared" si="6"/>
        <v>#N/A</v>
      </c>
      <c r="L79" t="e">
        <f t="shared" si="6"/>
        <v>#N/A</v>
      </c>
      <c r="M79" t="e">
        <f t="shared" si="6"/>
        <v>#N/A</v>
      </c>
      <c r="N79" t="e">
        <f t="shared" si="6"/>
        <v>#N/A</v>
      </c>
      <c r="O79" t="e">
        <f t="shared" si="6"/>
        <v>#N/A</v>
      </c>
      <c r="P79" t="e">
        <f t="shared" si="6"/>
        <v>#N/A</v>
      </c>
      <c r="Q79" t="e">
        <f t="shared" si="6"/>
        <v>#N/A</v>
      </c>
      <c r="R79" t="e">
        <f t="shared" si="5"/>
        <v>#N/A</v>
      </c>
      <c r="S79" t="e">
        <f t="shared" si="5"/>
        <v>#N/A</v>
      </c>
      <c r="T79" t="e">
        <f t="shared" si="5"/>
        <v>#N/A</v>
      </c>
      <c r="U79" t="e">
        <f t="shared" si="5"/>
        <v>#N/A</v>
      </c>
      <c r="V79" t="e">
        <f t="shared" si="5"/>
        <v>#N/A</v>
      </c>
      <c r="W79" t="e">
        <f t="shared" si="5"/>
        <v>#N/A</v>
      </c>
      <c r="X79" t="e">
        <f t="shared" si="5"/>
        <v>#N/A</v>
      </c>
      <c r="Y79" t="e">
        <f t="shared" si="5"/>
        <v>#N/A</v>
      </c>
      <c r="Z79" t="e">
        <f t="shared" si="3"/>
        <v>#N/A</v>
      </c>
      <c r="AA79" s="116">
        <v>0</v>
      </c>
      <c r="AB79" t="e">
        <f t="shared" si="4"/>
        <v>#N/A</v>
      </c>
    </row>
    <row r="80" spans="1:28" ht="18">
      <c r="A80" s="117" t="s">
        <v>153</v>
      </c>
      <c r="B80" t="e">
        <f t="shared" si="6"/>
        <v>#N/A</v>
      </c>
      <c r="C80" t="e">
        <f t="shared" si="6"/>
        <v>#N/A</v>
      </c>
      <c r="D80" t="e">
        <f t="shared" si="6"/>
        <v>#N/A</v>
      </c>
      <c r="E80" t="e">
        <f t="shared" si="6"/>
        <v>#N/A</v>
      </c>
      <c r="F80" t="e">
        <f t="shared" si="6"/>
        <v>#N/A</v>
      </c>
      <c r="G80" t="e">
        <f t="shared" si="6"/>
        <v>#N/A</v>
      </c>
      <c r="H80" t="e">
        <f t="shared" si="6"/>
        <v>#N/A</v>
      </c>
      <c r="I80" t="e">
        <f t="shared" si="6"/>
        <v>#N/A</v>
      </c>
      <c r="J80" t="e">
        <f t="shared" si="6"/>
        <v>#N/A</v>
      </c>
      <c r="K80" t="e">
        <f t="shared" si="6"/>
        <v>#N/A</v>
      </c>
      <c r="L80" t="e">
        <f t="shared" si="6"/>
        <v>#N/A</v>
      </c>
      <c r="M80" t="e">
        <f t="shared" si="6"/>
        <v>#N/A</v>
      </c>
      <c r="N80" t="e">
        <f t="shared" si="6"/>
        <v>#N/A</v>
      </c>
      <c r="O80" t="e">
        <f t="shared" si="6"/>
        <v>#N/A</v>
      </c>
      <c r="P80" t="e">
        <f t="shared" si="6"/>
        <v>#N/A</v>
      </c>
      <c r="Q80" t="e">
        <f t="shared" si="6"/>
        <v>#N/A</v>
      </c>
      <c r="R80" t="e">
        <f t="shared" si="5"/>
        <v>#N/A</v>
      </c>
      <c r="S80" t="e">
        <f t="shared" si="5"/>
        <v>#N/A</v>
      </c>
      <c r="T80" t="e">
        <f t="shared" si="5"/>
        <v>#N/A</v>
      </c>
      <c r="U80" t="e">
        <f t="shared" si="5"/>
        <v>#N/A</v>
      </c>
      <c r="V80" t="e">
        <f t="shared" si="5"/>
        <v>#N/A</v>
      </c>
      <c r="W80" t="e">
        <f t="shared" si="5"/>
        <v>#N/A</v>
      </c>
      <c r="X80" t="e">
        <f t="shared" si="5"/>
        <v>#N/A</v>
      </c>
      <c r="Y80" t="e">
        <f t="shared" si="5"/>
        <v>#N/A</v>
      </c>
      <c r="Z80" t="e">
        <f t="shared" si="3"/>
        <v>#N/A</v>
      </c>
      <c r="AA80" s="116">
        <v>0</v>
      </c>
      <c r="AB80" t="e">
        <f t="shared" si="4"/>
        <v>#N/A</v>
      </c>
    </row>
    <row r="81" spans="1:28" ht="18">
      <c r="A81" s="117" t="s">
        <v>153</v>
      </c>
      <c r="B81" t="e">
        <f t="shared" si="6"/>
        <v>#N/A</v>
      </c>
      <c r="C81" t="e">
        <f t="shared" si="6"/>
        <v>#N/A</v>
      </c>
      <c r="D81" t="e">
        <f t="shared" si="6"/>
        <v>#N/A</v>
      </c>
      <c r="E81" t="e">
        <f t="shared" si="6"/>
        <v>#N/A</v>
      </c>
      <c r="F81" t="e">
        <f t="shared" si="6"/>
        <v>#N/A</v>
      </c>
      <c r="G81" t="e">
        <f t="shared" si="6"/>
        <v>#N/A</v>
      </c>
      <c r="H81" t="e">
        <f t="shared" si="6"/>
        <v>#N/A</v>
      </c>
      <c r="I81" t="e">
        <f t="shared" si="6"/>
        <v>#N/A</v>
      </c>
      <c r="J81" t="e">
        <f t="shared" si="6"/>
        <v>#N/A</v>
      </c>
      <c r="K81" t="e">
        <f t="shared" si="6"/>
        <v>#N/A</v>
      </c>
      <c r="L81" t="e">
        <f t="shared" si="6"/>
        <v>#N/A</v>
      </c>
      <c r="M81" t="e">
        <f t="shared" si="6"/>
        <v>#N/A</v>
      </c>
      <c r="N81" t="e">
        <f t="shared" si="6"/>
        <v>#N/A</v>
      </c>
      <c r="O81" t="e">
        <f t="shared" si="6"/>
        <v>#N/A</v>
      </c>
      <c r="P81" t="e">
        <f t="shared" si="6"/>
        <v>#N/A</v>
      </c>
      <c r="Q81" t="e">
        <f t="shared" si="6"/>
        <v>#N/A</v>
      </c>
      <c r="R81" t="e">
        <f t="shared" si="5"/>
        <v>#N/A</v>
      </c>
      <c r="S81" t="e">
        <f t="shared" si="5"/>
        <v>#N/A</v>
      </c>
      <c r="T81" t="e">
        <f t="shared" si="5"/>
        <v>#N/A</v>
      </c>
      <c r="U81" t="e">
        <f t="shared" si="5"/>
        <v>#N/A</v>
      </c>
      <c r="V81" t="e">
        <f t="shared" si="5"/>
        <v>#N/A</v>
      </c>
      <c r="W81" t="e">
        <f t="shared" si="5"/>
        <v>#N/A</v>
      </c>
      <c r="X81" t="e">
        <f t="shared" si="5"/>
        <v>#N/A</v>
      </c>
      <c r="Y81" t="e">
        <f t="shared" si="5"/>
        <v>#N/A</v>
      </c>
      <c r="Z81" t="e">
        <f t="shared" si="3"/>
        <v>#N/A</v>
      </c>
      <c r="AA81" s="116">
        <v>0</v>
      </c>
      <c r="AB81" t="e">
        <f t="shared" si="4"/>
        <v>#N/A</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32</vt:i4>
      </vt:variant>
    </vt:vector>
  </HeadingPairs>
  <TitlesOfParts>
    <vt:vector size="32" baseType="lpstr">
      <vt:lpstr>2023Price</vt:lpstr>
      <vt:lpstr>2023Points</vt:lpstr>
      <vt:lpstr>2023DriverPrice</vt:lpstr>
      <vt:lpstr>2023ConstructorPrice</vt:lpstr>
      <vt:lpstr>2023DriverPoints</vt:lpstr>
      <vt:lpstr>2023ConstructorPoints</vt:lpstr>
      <vt:lpstr>2023DriverRoster</vt:lpstr>
      <vt:lpstr>2024Price</vt:lpstr>
      <vt:lpstr>2024Points</vt:lpstr>
      <vt:lpstr>2024DriverRoster</vt:lpstr>
      <vt:lpstr>2024DriverPrice</vt:lpstr>
      <vt:lpstr>2024ConstructorPrice</vt:lpstr>
      <vt:lpstr>2024DriverPoints</vt:lpstr>
      <vt:lpstr>2024ConstructorPoints</vt:lpstr>
      <vt:lpstr>2025DriverRoster</vt:lpstr>
      <vt:lpstr>2025Price</vt:lpstr>
      <vt:lpstr>2025Points</vt:lpstr>
      <vt:lpstr>2025DriverPrice</vt:lpstr>
      <vt:lpstr>2025ConstructorPrice</vt:lpstr>
      <vt:lpstr>2025DriverPoints</vt:lpstr>
      <vt:lpstr>2025ConstructorPoints</vt:lpstr>
      <vt:lpstr>2025DriverStandings</vt:lpstr>
      <vt:lpstr>2025ConstructorStandings</vt:lpstr>
      <vt:lpstr>2025EOSResults</vt:lpstr>
      <vt:lpstr>2026DriverRoster</vt:lpstr>
      <vt:lpstr>2026DriverPrice</vt:lpstr>
      <vt:lpstr>2026DriverPoints</vt:lpstr>
      <vt:lpstr>2026ConstructorPrice</vt:lpstr>
      <vt:lpstr>2026ConstructorPoints</vt:lpstr>
      <vt:lpstr>2026TeamConfig</vt:lpstr>
      <vt:lpstr>2026ConstructorStandings</vt:lpstr>
      <vt:lpstr>2026DriverStandings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Discord logo</dc:title>
  <cp:lastModifiedBy>Jack Guptill</cp:lastModifiedBy>
  <dcterms:created xsi:type="dcterms:W3CDTF">2026-02-25T21:40:49Z</dcterms:created>
  <dcterms:modified xsi:type="dcterms:W3CDTF">2026-03-29T20:22:29Z</dcterms:modified>
</cp:coreProperties>
</file>